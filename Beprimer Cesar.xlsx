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COMERCIAL3 INAL\Desktop\WILLIAM\SD projects\Trading_BePrimer\"/>
    </mc:Choice>
  </mc:AlternateContent>
  <xr:revisionPtr revIDLastSave="0" documentId="13_ncr:1_{0663BC8E-EC35-4B46-8F71-BA5A39A46238}" xr6:coauthVersionLast="47" xr6:coauthVersionMax="47" xr10:uidLastSave="{00000000-0000-0000-0000-000000000000}"/>
  <bookViews>
    <workbookView xWindow="-108" yWindow="-108" windowWidth="23256" windowHeight="12456" xr2:uid="{39E997FF-14DD-456E-9E32-700751140135}"/>
  </bookViews>
  <sheets>
    <sheet name="Bitacora " sheetId="1" r:id="rId1"/>
    <sheet name="Listas" sheetId="2" r:id="rId2"/>
    <sheet name="Graficas " sheetId="3" r:id="rId3"/>
  </sheets>
  <definedNames>
    <definedName name="SegmentaciónDeDatos_ÍNDICE">#N/A</definedName>
    <definedName name="SegmentaciónDeDatos_MES">#N/A</definedName>
    <definedName name="SegmentaciónDeDatos_SEMANA">#N/A</definedName>
  </definedNames>
  <calcPr calcId="191029"/>
  <pivotCaches>
    <pivotCache cacheId="0" r:id="rId4"/>
    <pivotCache cacheId="1" r:id="rId5"/>
    <pivotCache cacheId="2" r:id="rId6"/>
    <pivotCache cacheId="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1" i="1" l="1"/>
  <c r="N21" i="1"/>
  <c r="Q21" i="1"/>
  <c r="R21"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8" i="1"/>
  <c r="U7" i="1"/>
  <c r="O9" i="1"/>
  <c r="O10" i="1" s="1"/>
  <c r="O11" i="1" s="1"/>
  <c r="O12" i="1" s="1"/>
  <c r="O13" i="1" s="1"/>
  <c r="O14" i="1" s="1"/>
  <c r="O15" i="1" s="1"/>
  <c r="O16" i="1" s="1"/>
  <c r="O17" i="1" s="1"/>
  <c r="O18" i="1" s="1"/>
  <c r="O19" i="1" s="1"/>
  <c r="O20" i="1" s="1"/>
  <c r="O8" i="1"/>
  <c r="O7" i="1"/>
  <c r="N8" i="1"/>
  <c r="N9" i="1"/>
  <c r="N10" i="1"/>
  <c r="N11" i="1"/>
  <c r="N12" i="1"/>
  <c r="N13" i="1"/>
  <c r="N14" i="1"/>
  <c r="N15" i="1"/>
  <c r="N16" i="1"/>
  <c r="N17" i="1"/>
  <c r="N18" i="1"/>
  <c r="N19" i="1"/>
  <c r="N20" i="1"/>
  <c r="N7" i="1"/>
  <c r="R8" i="1"/>
  <c r="R9" i="1"/>
  <c r="R10" i="1"/>
  <c r="R11" i="1"/>
  <c r="R12" i="1"/>
  <c r="R13" i="1"/>
  <c r="R14" i="1"/>
  <c r="R15" i="1"/>
  <c r="R16" i="1"/>
  <c r="R17" i="1"/>
  <c r="R18" i="1"/>
  <c r="R19" i="1"/>
  <c r="R20" i="1"/>
  <c r="Q8" i="1"/>
  <c r="Q9" i="1"/>
  <c r="Q10" i="1"/>
  <c r="Q11" i="1"/>
  <c r="Q12" i="1"/>
  <c r="Q13" i="1"/>
  <c r="Q14" i="1"/>
  <c r="Q15" i="1"/>
  <c r="Q16" i="1"/>
  <c r="Q17" i="1"/>
  <c r="Q18" i="1"/>
  <c r="Q19" i="1"/>
  <c r="Q20" i="1"/>
  <c r="R7" i="1"/>
  <c r="Q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Javier Cañarte</author>
  </authors>
  <commentList>
    <comment ref="M6" authorId="0" shapeId="0" xr:uid="{71FE5C1E-E730-4E75-8732-C196104A477A}">
      <text>
        <r>
          <rPr>
            <b/>
            <sz val="9"/>
            <color indexed="81"/>
            <rFont val="Tahoma"/>
            <family val="2"/>
          </rPr>
          <t xml:space="preserve">Poner el resultado en dólares
</t>
        </r>
      </text>
    </comment>
  </commentList>
</comments>
</file>

<file path=xl/sharedStrings.xml><?xml version="1.0" encoding="utf-8"?>
<sst xmlns="http://schemas.openxmlformats.org/spreadsheetml/2006/main" count="256" uniqueCount="100">
  <si>
    <t>N°</t>
  </si>
  <si>
    <t>FECHA</t>
  </si>
  <si>
    <t>ÍNDICE</t>
  </si>
  <si>
    <t>LOTAJE</t>
  </si>
  <si>
    <t>EMOCIÓN</t>
  </si>
  <si>
    <t>TIPO</t>
  </si>
  <si>
    <t>P.E</t>
  </si>
  <si>
    <t>SL</t>
  </si>
  <si>
    <t>TP</t>
  </si>
  <si>
    <t>ANALISIS</t>
  </si>
  <si>
    <t>ESTADO</t>
  </si>
  <si>
    <t>RESULTADO</t>
  </si>
  <si>
    <t>PORCENTAJE</t>
  </si>
  <si>
    <t>Capital Inicial</t>
  </si>
  <si>
    <t>Capital</t>
  </si>
  <si>
    <t>BACKTESTING</t>
  </si>
  <si>
    <t>SEMANA</t>
  </si>
  <si>
    <t>MES</t>
  </si>
  <si>
    <t>INDICES</t>
  </si>
  <si>
    <t>Boom 300</t>
  </si>
  <si>
    <t>Boom 500</t>
  </si>
  <si>
    <t>Boom 1000</t>
  </si>
  <si>
    <t>Crash 300</t>
  </si>
  <si>
    <t>Crash 500</t>
  </si>
  <si>
    <t>Crash 1000</t>
  </si>
  <si>
    <t>Step 100</t>
  </si>
  <si>
    <t>Step 200</t>
  </si>
  <si>
    <t>Step 300</t>
  </si>
  <si>
    <t>Jump 25</t>
  </si>
  <si>
    <t>Volatility 25</t>
  </si>
  <si>
    <t>Volatility 50</t>
  </si>
  <si>
    <t>Volatility 75</t>
  </si>
  <si>
    <t>Volatility 100</t>
  </si>
  <si>
    <t>Volatility 10(1s)</t>
  </si>
  <si>
    <t>Volatility 25(1s)</t>
  </si>
  <si>
    <t>Volatility 50(1s)</t>
  </si>
  <si>
    <t>Volatility 75(1s)</t>
  </si>
  <si>
    <t>Boom 900</t>
  </si>
  <si>
    <t xml:space="preserve">Oro </t>
  </si>
  <si>
    <t>Confianza</t>
  </si>
  <si>
    <t>Duda</t>
  </si>
  <si>
    <t>Osadía</t>
  </si>
  <si>
    <t>Enojo</t>
  </si>
  <si>
    <t>Miedo</t>
  </si>
  <si>
    <t>Ansiedad</t>
  </si>
  <si>
    <t>Venganza</t>
  </si>
  <si>
    <t>Codicia</t>
  </si>
  <si>
    <t>Sobre-Confianza</t>
  </si>
  <si>
    <t>FOMO</t>
  </si>
  <si>
    <t>Esperanza</t>
  </si>
  <si>
    <t>Resilencia</t>
  </si>
  <si>
    <t>Sueños</t>
  </si>
  <si>
    <t>pereza</t>
  </si>
  <si>
    <t>EMOCIONES</t>
  </si>
  <si>
    <t>Buy</t>
  </si>
  <si>
    <t>Sell</t>
  </si>
  <si>
    <t>Sell Limit</t>
  </si>
  <si>
    <t>Buy Limit</t>
  </si>
  <si>
    <t>Sell Stop</t>
  </si>
  <si>
    <t>Buy Stop</t>
  </si>
  <si>
    <t>Propio</t>
  </si>
  <si>
    <t>Señal</t>
  </si>
  <si>
    <t>Operativa</t>
  </si>
  <si>
    <t>Ganada</t>
  </si>
  <si>
    <t>Perdida</t>
  </si>
  <si>
    <t>Break Even</t>
  </si>
  <si>
    <t>Descartada</t>
  </si>
  <si>
    <t>General</t>
  </si>
  <si>
    <t>Operaciones</t>
  </si>
  <si>
    <t>Etiquetas de fila</t>
  </si>
  <si>
    <t>Emociones</t>
  </si>
  <si>
    <t>(en blanco)</t>
  </si>
  <si>
    <t>Total general</t>
  </si>
  <si>
    <t>Cuenta de FECHA</t>
  </si>
  <si>
    <t>03-sept</t>
  </si>
  <si>
    <t>05-sept</t>
  </si>
  <si>
    <t>16-sept</t>
  </si>
  <si>
    <t>22-sept</t>
  </si>
  <si>
    <t>24-sept</t>
  </si>
  <si>
    <t>26-sept</t>
  </si>
  <si>
    <t>01-oct</t>
  </si>
  <si>
    <t>02-oct</t>
  </si>
  <si>
    <t>03-oct</t>
  </si>
  <si>
    <t>04-oct</t>
  </si>
  <si>
    <t>05-oct</t>
  </si>
  <si>
    <t>06-oct</t>
  </si>
  <si>
    <t>07-oct</t>
  </si>
  <si>
    <t>Etiquetas de columna</t>
  </si>
  <si>
    <t>Cuenta de ESTADO</t>
  </si>
  <si>
    <t>Suma de RESULTADO</t>
  </si>
  <si>
    <t>Máx. de Capital</t>
  </si>
  <si>
    <t>Promedio de LOTAJE</t>
  </si>
  <si>
    <t>Cuenta de EMOCIÓN</t>
  </si>
  <si>
    <t>Cuenta de ÍNDICE</t>
  </si>
  <si>
    <t>pao</t>
  </si>
  <si>
    <t>H. INICIO</t>
  </si>
  <si>
    <t>H. FIN</t>
  </si>
  <si>
    <t>MINUTOS</t>
  </si>
  <si>
    <t>Suma de MINUTOS</t>
  </si>
  <si>
    <t>07-nov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</si>
</sst>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quot;USD&quot;"/>
    <numFmt numFmtId="165" formatCode="0.0%"/>
    <numFmt numFmtId="166" formatCode="[$-F400]h:mm:ss\ AM/PM"/>
  </numFmts>
  <fonts count="7" x14ac:knownFonts="1">
    <font>
      <sz val="11"/>
      <color theme="1"/>
      <name val="Aptos Narrow"/>
      <family val="2"/>
      <scheme val="minor"/>
    </font>
    <font>
      <sz val="11"/>
      <color theme="1"/>
      <name val="Aptos Narrow"/>
      <family val="2"/>
      <scheme val="minor"/>
    </font>
    <font>
      <b/>
      <sz val="10"/>
      <color theme="1"/>
      <name val="Aptos Narrow"/>
      <family val="2"/>
      <scheme val="minor"/>
    </font>
    <font>
      <b/>
      <sz val="9"/>
      <color indexed="81"/>
      <name val="Tahoma"/>
      <family val="2"/>
    </font>
    <font>
      <b/>
      <sz val="10"/>
      <name val="Aptos Narrow"/>
      <family val="2"/>
      <scheme val="minor"/>
    </font>
    <font>
      <sz val="10"/>
      <color theme="1"/>
      <name val="Aptos Narrow"/>
      <family val="2"/>
      <scheme val="minor"/>
    </font>
    <font>
      <sz val="20"/>
      <color theme="1"/>
      <name val="Aptos Narrow"/>
      <family val="2"/>
      <scheme val="minor"/>
    </font>
  </fonts>
  <fills count="5">
    <fill>
      <patternFill patternType="none"/>
    </fill>
    <fill>
      <patternFill patternType="gray125"/>
    </fill>
    <fill>
      <patternFill patternType="solid">
        <fgColor theme="0"/>
        <bgColor rgb="FFFFF2CC"/>
      </patternFill>
    </fill>
    <fill>
      <patternFill patternType="solid">
        <fgColor theme="4" tint="0.79998168889431442"/>
        <bgColor theme="4" tint="0.79998168889431442"/>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indexed="64"/>
      </left>
      <right style="thin">
        <color indexed="64"/>
      </right>
      <top style="thin">
        <color rgb="FF000000"/>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0" fontId="2" fillId="0" borderId="3" xfId="0" applyFont="1" applyBorder="1" applyAlignment="1" applyProtection="1">
      <alignment horizontal="center" vertical="center"/>
      <protection locked="0"/>
    </xf>
    <xf numFmtId="0" fontId="2" fillId="0" borderId="4" xfId="0" applyFont="1" applyBorder="1" applyAlignment="1" applyProtection="1">
      <alignment horizontal="center" vertical="center"/>
      <protection locked="0"/>
    </xf>
    <xf numFmtId="0" fontId="0" fillId="0" borderId="2" xfId="0" applyBorder="1"/>
    <xf numFmtId="0" fontId="0" fillId="0" borderId="2" xfId="0" applyBorder="1" applyAlignment="1">
      <alignment horizontal="center"/>
    </xf>
    <xf numFmtId="0" fontId="4" fillId="2" borderId="2" xfId="0" applyFont="1" applyFill="1" applyBorder="1" applyAlignment="1" applyProtection="1">
      <alignment horizontal="center" vertical="center"/>
      <protection locked="0"/>
    </xf>
    <xf numFmtId="2" fontId="2" fillId="0" borderId="5" xfId="0" applyNumberFormat="1" applyFont="1" applyBorder="1" applyAlignment="1" applyProtection="1">
      <alignment horizontal="center" vertical="center"/>
      <protection locked="0"/>
    </xf>
    <xf numFmtId="164" fontId="2" fillId="0" borderId="2" xfId="0" applyNumberFormat="1" applyFont="1" applyBorder="1" applyAlignment="1" applyProtection="1">
      <alignment horizontal="center" vertical="center"/>
      <protection locked="0"/>
    </xf>
    <xf numFmtId="164" fontId="2" fillId="0" borderId="7" xfId="0" applyNumberFormat="1" applyFont="1" applyBorder="1" applyAlignment="1" applyProtection="1">
      <alignment horizontal="center" vertical="center"/>
      <protection locked="0"/>
    </xf>
    <xf numFmtId="0" fontId="0" fillId="0" borderId="2" xfId="0" applyBorder="1" applyAlignment="1">
      <alignment horizontal="center" vertical="center"/>
    </xf>
    <xf numFmtId="0" fontId="0" fillId="3" borderId="8" xfId="0" applyFill="1" applyBorder="1"/>
    <xf numFmtId="0" fontId="0" fillId="0" borderId="8" xfId="0" applyBorder="1"/>
    <xf numFmtId="1" fontId="0" fillId="0" borderId="2" xfId="0" applyNumberFormat="1" applyBorder="1" applyAlignment="1">
      <alignment horizontal="center" vertical="center"/>
    </xf>
    <xf numFmtId="165" fontId="0" fillId="0" borderId="6" xfId="1" applyNumberFormat="1" applyFont="1" applyBorder="1" applyAlignment="1">
      <alignment horizontal="center" vertical="center"/>
    </xf>
    <xf numFmtId="0" fontId="5" fillId="0" borderId="1" xfId="0" applyFont="1" applyBorder="1" applyAlignment="1" applyProtection="1">
      <alignment horizontal="center" vertical="center"/>
      <protection locked="0"/>
    </xf>
    <xf numFmtId="0" fontId="0" fillId="0" borderId="0" xfId="0" applyAlignment="1">
      <alignment horizontal="left"/>
    </xf>
    <xf numFmtId="0" fontId="0" fillId="0" borderId="0" xfId="0" pivotButton="1"/>
    <xf numFmtId="0" fontId="0" fillId="4" borderId="0" xfId="0" applyFill="1"/>
    <xf numFmtId="0" fontId="6" fillId="4" borderId="0" xfId="0" applyFont="1" applyFill="1"/>
    <xf numFmtId="14" fontId="0" fillId="0" borderId="2" xfId="0" applyNumberFormat="1" applyBorder="1" applyAlignment="1">
      <alignment horizontal="center" vertical="center"/>
    </xf>
    <xf numFmtId="2" fontId="0" fillId="0" borderId="0" xfId="0" applyNumberFormat="1"/>
    <xf numFmtId="10" fontId="0" fillId="0" borderId="0" xfId="0" applyNumberFormat="1"/>
    <xf numFmtId="0" fontId="0" fillId="3" borderId="9" xfId="0" applyFill="1" applyBorder="1"/>
    <xf numFmtId="166" fontId="0" fillId="0" borderId="2" xfId="0" applyNumberFormat="1" applyBorder="1" applyAlignment="1">
      <alignment horizontal="center" vertical="center"/>
    </xf>
  </cellXfs>
  <cellStyles count="2">
    <cellStyle name="Normal" xfId="0" builtinId="0"/>
    <cellStyle name="Porcentaje" xfId="1" builtinId="5"/>
  </cellStyles>
  <dxfs count="1">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0" Type="http://schemas.microsoft.com/office/2007/relationships/slicerCache" Target="slicerCaches/slicerCache3.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[Beprimer Cesar.xlsx]Graficas !dinamica7</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'Graficas '!$E$81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E2-4432-96EA-8D4F3F28AA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E2-4432-96EA-8D4F3F28AA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9E2-4432-96EA-8D4F3F28AA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9E2-4432-96EA-8D4F3F28AAE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9E2-4432-96EA-8D4F3F28AAE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9E2-4432-96EA-8D4F3F28AAE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9E2-4432-96EA-8D4F3F28AAE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9E2-4432-96EA-8D4F3F28AAE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9E2-4432-96EA-8D4F3F28AA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'Graficas '!$D$82:$D$91</c:f>
              <c:strCache>
                <c:ptCount val="9"/>
                <c:pt idx="0">
                  <c:v>Ansiedad</c:v>
                </c:pt>
                <c:pt idx="1">
                  <c:v>Codicia</c:v>
                </c:pt>
                <c:pt idx="2">
                  <c:v>Confianza</c:v>
                </c:pt>
                <c:pt idx="3">
                  <c:v>Duda</c:v>
                </c:pt>
                <c:pt idx="4">
                  <c:v>Enojo</c:v>
                </c:pt>
                <c:pt idx="5">
                  <c:v>Esperanza</c:v>
                </c:pt>
                <c:pt idx="6">
                  <c:v>FOMO</c:v>
                </c:pt>
                <c:pt idx="7">
                  <c:v>Resilencia</c:v>
                </c:pt>
                <c:pt idx="8">
                  <c:v>Venganza</c:v>
                </c:pt>
              </c:strCache>
            </c:strRef>
          </c:cat>
          <c:val>
            <c:numRef>
              <c:f>'Graficas '!$E$82:$E$91</c:f>
              <c:numCache>
                <c:formatCode>0.00%</c:formatCode>
                <c:ptCount val="9"/>
                <c:pt idx="0">
                  <c:v>7.6923076923076927E-2</c:v>
                </c:pt>
                <c:pt idx="1">
                  <c:v>7.6923076923076927E-2</c:v>
                </c:pt>
                <c:pt idx="2">
                  <c:v>0.23076923076923078</c:v>
                </c:pt>
                <c:pt idx="3">
                  <c:v>0.15384615384615385</c:v>
                </c:pt>
                <c:pt idx="4">
                  <c:v>7.6923076923076927E-2</c:v>
                </c:pt>
                <c:pt idx="5">
                  <c:v>7.6923076923076927E-2</c:v>
                </c:pt>
                <c:pt idx="6">
                  <c:v>7.6923076923076927E-2</c:v>
                </c:pt>
                <c:pt idx="7">
                  <c:v>7.6923076923076927E-2</c:v>
                </c:pt>
                <c:pt idx="8">
                  <c:v>0.15384615384615385</c:v>
                </c:pt>
              </c:numCache>
            </c:numRef>
          </c:val>
          <c:extLst>
            <c:ext xmlns:c16="http://schemas.microsoft.com/office/drawing/2014/chart" uri="{C3380CC4-5D6E-409C-BE32-E72D297353CC}">
              <c16:uniqueId val="{00000000-D363-4AB3-B819-A5540AD4C99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[Beprimer Cesar.xlsx]Graficas !dinamica8</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'Graficas '!$M$81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CA-40A9-A66C-00621D9805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CA-40A9-A66C-00621D9805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CA-40A9-A66C-00621D9805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CCA-40A9-A66C-00621D98051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CCA-40A9-A66C-00621D98051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CCA-40A9-A66C-00621D98051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CCA-40A9-A66C-00621D98051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CCA-40A9-A66C-00621D98051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CCA-40A9-A66C-00621D98051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CCA-40A9-A66C-00621D9805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'Graficas '!$L$82:$L$92</c:f>
              <c:strCache>
                <c:ptCount val="10"/>
                <c:pt idx="0">
                  <c:v>Ansiedad</c:v>
                </c:pt>
                <c:pt idx="1">
                  <c:v>Codicia</c:v>
                </c:pt>
                <c:pt idx="2">
                  <c:v>Confianza</c:v>
                </c:pt>
                <c:pt idx="3">
                  <c:v>Duda</c:v>
                </c:pt>
                <c:pt idx="4">
                  <c:v>Enojo</c:v>
                </c:pt>
                <c:pt idx="5">
                  <c:v>Esperanza</c:v>
                </c:pt>
                <c:pt idx="6">
                  <c:v>FOMO</c:v>
                </c:pt>
                <c:pt idx="7">
                  <c:v>Resilencia</c:v>
                </c:pt>
                <c:pt idx="8">
                  <c:v>Venganza</c:v>
                </c:pt>
                <c:pt idx="9">
                  <c:v>(en blanco)</c:v>
                </c:pt>
              </c:strCache>
            </c:strRef>
          </c:cat>
          <c:val>
            <c:numRef>
              <c:f>'Graficas '!$M$82:$M$92</c:f>
              <c:numCache>
                <c:formatCode>0.00%</c:formatCode>
                <c:ptCount val="10"/>
                <c:pt idx="0">
                  <c:v>7.1428571428571425E-2</c:v>
                </c:pt>
                <c:pt idx="1">
                  <c:v>7.1428571428571425E-2</c:v>
                </c:pt>
                <c:pt idx="2">
                  <c:v>0.2857142857142857</c:v>
                </c:pt>
                <c:pt idx="3">
                  <c:v>0.14285714285714285</c:v>
                </c:pt>
                <c:pt idx="4">
                  <c:v>7.1428571428571425E-2</c:v>
                </c:pt>
                <c:pt idx="5">
                  <c:v>7.1428571428571425E-2</c:v>
                </c:pt>
                <c:pt idx="6">
                  <c:v>7.1428571428571425E-2</c:v>
                </c:pt>
                <c:pt idx="7">
                  <c:v>7.1428571428571425E-2</c:v>
                </c:pt>
                <c:pt idx="8">
                  <c:v>0.14285714285714285</c:v>
                </c:pt>
                <c:pt idx="9">
                  <c:v>0</c:v>
                </c:pt>
              </c:numCache>
            </c:numRef>
          </c:val>
          <c:extLst>
            <c:ext xmlns:c16="http://schemas.microsoft.com/office/drawing/2014/chart" uri="{C3380CC4-5D6E-409C-BE32-E72D297353CC}">
              <c16:uniqueId val="{00000000-4113-4F3A-879E-CA0BAB84948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[Beprimer Cesar.xlsx]Graficas !TablaDinámica18</c:name>
    <c:fmtId val="0"/>
  </c:pivotSource>
  <c:chart>
    <c:autoTitleDeleted val="1"/>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s-419"/>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'Graficas '!$I$9</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s-419"/>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'Graficas '!$H$10:$H$24</c:f>
              <c:strCache>
                <c:ptCount val="14"/>
                <c:pt idx="0">
                  <c:v>03-sept</c:v>
                </c:pt>
                <c:pt idx="1">
                  <c:v>05-sept</c:v>
                </c:pt>
                <c:pt idx="2">
                  <c:v>16-sept</c:v>
                </c:pt>
                <c:pt idx="3">
                  <c:v>22-sept</c:v>
                </c:pt>
                <c:pt idx="4">
                  <c:v>24-sept</c:v>
                </c:pt>
                <c:pt idx="5">
                  <c:v>26-sept</c:v>
                </c:pt>
                <c:pt idx="6">
                  <c:v>01-oct</c:v>
                </c:pt>
                <c:pt idx="7">
                  <c:v>02-oct</c:v>
                </c:pt>
                <c:pt idx="8">
                  <c:v>03-oct</c:v>
                </c:pt>
                <c:pt idx="9">
                  <c:v>04-oct</c:v>
                </c:pt>
                <c:pt idx="10">
                  <c:v>05-oct</c:v>
                </c:pt>
                <c:pt idx="11">
                  <c:v>06-oct</c:v>
                </c:pt>
                <c:pt idx="12">
                  <c:v>07-oct</c:v>
                </c:pt>
                <c:pt idx="13">
                  <c:v>07-nov</c:v>
                </c:pt>
              </c:strCache>
            </c:strRef>
          </c:cat>
          <c:val>
            <c:numRef>
              <c:f>'Graficas '!$I$10:$I$24</c:f>
              <c:numCache>
                <c:formatCode>General</c:formatCode>
                <c:ptCount val="14"/>
                <c:pt idx="0">
                  <c:v>1</c:v>
                </c:pt>
                <c:pt idx="1">
                  <c:v>1</c:v>
                </c:pt>
                <c:pt idx="2">
                  <c:v>1</c:v>
                </c:pt>
                <c:pt idx="3">
                  <c:v>2</c:v>
                </c:pt>
                <c:pt idx="4">
                  <c:v>1</c:v>
                </c:pt>
                <c:pt idx="5">
                  <c:v>1</c:v>
                </c:pt>
                <c:pt idx="6">
                  <c:v>1</c:v>
                </c:pt>
                <c:pt idx="7">
                  <c:v>1</c:v>
                </c:pt>
                <c:pt idx="8">
                  <c:v>1</c:v>
                </c:pt>
                <c:pt idx="9">
                  <c:v>1</c:v>
                </c:pt>
                <c:pt idx="10">
                  <c:v>1</c:v>
                </c:pt>
                <c:pt idx="11">
                  <c:v>1</c:v>
                </c:pt>
                <c:pt idx="12">
                  <c:v>1</c:v>
                </c:pt>
                <c:pt idx="13">
                  <c:v>1</c:v>
                </c:pt>
              </c:numCache>
            </c:numRef>
          </c:val>
          <c:extLst>
            <c:ext xmlns:c16="http://schemas.microsoft.com/office/drawing/2014/chart" uri="{C3380CC4-5D6E-409C-BE32-E72D297353CC}">
              <c16:uniqueId val="{00000000-4546-4533-85FA-EB93CB24057D}"/>
            </c:ext>
          </c:extLst>
        </c:ser>
        <c:dLbls>
          <c:dLblPos val="outEnd"/>
          <c:showLegendKey val="0"/>
          <c:showVal val="1"/>
          <c:showCatName val="0"/>
          <c:showSerName val="0"/>
          <c:showPercent val="0"/>
          <c:showBubbleSize val="0"/>
        </c:dLbls>
        <c:gapWidth val="269"/>
        <c:overlap val="-20"/>
        <c:axId val="564828392"/>
        <c:axId val="564830912"/>
      </c:barChart>
      <c:catAx>
        <c:axId val="56482839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s-419"/>
          </a:p>
        </c:txPr>
        <c:crossAx val="564830912"/>
        <c:crosses val="autoZero"/>
        <c:auto val="1"/>
        <c:lblAlgn val="ctr"/>
        <c:lblOffset val="100"/>
        <c:noMultiLvlLbl val="0"/>
      </c:catAx>
      <c:valAx>
        <c:axId val="56483091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s-419"/>
                  <a:t>Cantidad de Operaciones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s-419"/>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s-419"/>
          </a:p>
        </c:txPr>
        <c:crossAx val="564828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s-419"/>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s-419"/>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[Beprimer Cesar.xlsx]Graficas !dinamica 2</c:name>
    <c:fmtId val="0"/>
  </c:pivotSource>
  <c:chart>
    <c:autoTitleDeleted val="1"/>
    <c:pivotFmts>
      <c:pivotFmt>
        <c:idx val="0"/>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'Graficas '!$R$9</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'Graficas '!$Q$10:$Q$24</c:f>
              <c:strCache>
                <c:ptCount val="14"/>
                <c:pt idx="0">
                  <c:v>03-sept</c:v>
                </c:pt>
                <c:pt idx="1">
                  <c:v>05-sept</c:v>
                </c:pt>
                <c:pt idx="2">
                  <c:v>16-sept</c:v>
                </c:pt>
                <c:pt idx="3">
                  <c:v>22-sept</c:v>
                </c:pt>
                <c:pt idx="4">
                  <c:v>24-sept</c:v>
                </c:pt>
                <c:pt idx="5">
                  <c:v>26-sept</c:v>
                </c:pt>
                <c:pt idx="6">
                  <c:v>01-oct</c:v>
                </c:pt>
                <c:pt idx="7">
                  <c:v>02-oct</c:v>
                </c:pt>
                <c:pt idx="8">
                  <c:v>03-oct</c:v>
                </c:pt>
                <c:pt idx="9">
                  <c:v>04-oct</c:v>
                </c:pt>
                <c:pt idx="10">
                  <c:v>05-oct</c:v>
                </c:pt>
                <c:pt idx="11">
                  <c:v>06-oct</c:v>
                </c:pt>
                <c:pt idx="12">
                  <c:v>07-oct</c:v>
                </c:pt>
                <c:pt idx="13">
                  <c:v>07-nov</c:v>
                </c:pt>
              </c:strCache>
            </c:strRef>
          </c:cat>
          <c:val>
            <c:numRef>
              <c:f>'Graficas '!$R$10:$R$24</c:f>
              <c:numCache>
                <c:formatCode>General</c:formatCode>
                <c:ptCount val="14"/>
                <c:pt idx="0">
                  <c:v>1145</c:v>
                </c:pt>
                <c:pt idx="1">
                  <c:v>1320</c:v>
                </c:pt>
                <c:pt idx="2">
                  <c:v>2155</c:v>
                </c:pt>
                <c:pt idx="3">
                  <c:v>2952.3</c:v>
                </c:pt>
                <c:pt idx="4">
                  <c:v>2777.3</c:v>
                </c:pt>
                <c:pt idx="5">
                  <c:v>3612.3</c:v>
                </c:pt>
                <c:pt idx="6">
                  <c:v>3911.3</c:v>
                </c:pt>
                <c:pt idx="7">
                  <c:v>6361.3</c:v>
                </c:pt>
                <c:pt idx="8">
                  <c:v>6871.3</c:v>
                </c:pt>
                <c:pt idx="9">
                  <c:v>7391.3</c:v>
                </c:pt>
                <c:pt idx="10">
                  <c:v>7791.3</c:v>
                </c:pt>
                <c:pt idx="11">
                  <c:v>7791.3</c:v>
                </c:pt>
                <c:pt idx="12">
                  <c:v>7891.3</c:v>
                </c:pt>
                <c:pt idx="13">
                  <c:v>8051.3</c:v>
                </c:pt>
              </c:numCache>
            </c:numRef>
          </c:val>
          <c:smooth val="0"/>
          <c:extLst>
            <c:ext xmlns:c16="http://schemas.microsoft.com/office/drawing/2014/chart" uri="{C3380CC4-5D6E-409C-BE32-E72D297353CC}">
              <c16:uniqueId val="{00000000-C9CE-4895-B35E-519AD3330636}"/>
            </c:ext>
          </c:extLst>
        </c:ser>
        <c:dLbls>
          <c:dLblPos val="t"/>
          <c:showLegendKey val="0"/>
          <c:showVal val="1"/>
          <c:showCatName val="0"/>
          <c:showSerName val="0"/>
          <c:showPercent val="0"/>
          <c:showBubbleSize val="0"/>
        </c:dLbls>
        <c:marker val="1"/>
        <c:smooth val="0"/>
        <c:axId val="645241552"/>
        <c:axId val="645242992"/>
      </c:lineChart>
      <c:catAx>
        <c:axId val="64524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419"/>
          </a:p>
        </c:txPr>
        <c:crossAx val="645242992"/>
        <c:crosses val="autoZero"/>
        <c:auto val="1"/>
        <c:lblAlgn val="ctr"/>
        <c:lblOffset val="100"/>
        <c:noMultiLvlLbl val="0"/>
      </c:catAx>
      <c:valAx>
        <c:axId val="6452429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64524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[Beprimer Cesar.xlsx]Graficas !dinamica3</c:name>
    <c:fmtId val="0"/>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419"/>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419"/>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'Graficas '!$E$53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419"/>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'Graficas '!$D$54:$D$60</c:f>
              <c:strCache>
                <c:ptCount val="6"/>
                <c:pt idx="0">
                  <c:v>Boom 900</c:v>
                </c:pt>
                <c:pt idx="1">
                  <c:v>Crash 300</c:v>
                </c:pt>
                <c:pt idx="2">
                  <c:v>Jump 25</c:v>
                </c:pt>
                <c:pt idx="3">
                  <c:v>Oro </c:v>
                </c:pt>
                <c:pt idx="4">
                  <c:v>Step 100</c:v>
                </c:pt>
                <c:pt idx="5">
                  <c:v>Step 200</c:v>
                </c:pt>
              </c:strCache>
            </c:strRef>
          </c:cat>
          <c:val>
            <c:numRef>
              <c:f>'Graficas '!$E$54:$E$60</c:f>
              <c:numCache>
                <c:formatCode>General</c:formatCode>
                <c:ptCount val="6"/>
                <c:pt idx="0">
                  <c:v>1</c:v>
                </c:pt>
                <c:pt idx="1">
                  <c:v>4</c:v>
                </c:pt>
                <c:pt idx="2">
                  <c:v>1</c:v>
                </c:pt>
                <c:pt idx="3">
                  <c:v>1</c:v>
                </c:pt>
                <c:pt idx="4">
                  <c:v>1</c:v>
                </c:pt>
                <c:pt idx="5">
                  <c:v>7</c:v>
                </c:pt>
              </c:numCache>
            </c:numRef>
          </c:val>
          <c:extLst>
            <c:ext xmlns:c16="http://schemas.microsoft.com/office/drawing/2014/chart" uri="{C3380CC4-5D6E-409C-BE32-E72D297353CC}">
              <c16:uniqueId val="{00000000-A1CD-41CC-A78A-2DD46B4BF5CB}"/>
            </c:ext>
          </c:extLst>
        </c:ser>
        <c:dLbls>
          <c:dLblPos val="outEnd"/>
          <c:showLegendKey val="0"/>
          <c:showVal val="1"/>
          <c:showCatName val="0"/>
          <c:showSerName val="0"/>
          <c:showPercent val="0"/>
          <c:showBubbleSize val="0"/>
        </c:dLbls>
        <c:gapWidth val="267"/>
        <c:overlap val="-43"/>
        <c:axId val="645237592"/>
        <c:axId val="645239032"/>
      </c:barChart>
      <c:catAx>
        <c:axId val="64523759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419"/>
          </a:p>
        </c:txPr>
        <c:crossAx val="645239032"/>
        <c:crosses val="autoZero"/>
        <c:auto val="1"/>
        <c:lblAlgn val="ctr"/>
        <c:lblOffset val="100"/>
        <c:noMultiLvlLbl val="0"/>
      </c:catAx>
      <c:valAx>
        <c:axId val="64523903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419"/>
          </a:p>
        </c:txPr>
        <c:crossAx val="645237592"/>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419"/>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s-419"/>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[Beprimer Cesar.xlsx]Graficas !dinamica4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'Graficas '!$L$52:$L$53</c:f>
              <c:strCache>
                <c:ptCount val="1"/>
                <c:pt idx="0">
                  <c:v>Ganada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 '!$K$54:$K$59</c:f>
              <c:strCache>
                <c:ptCount val="5"/>
                <c:pt idx="0">
                  <c:v>Boom 900</c:v>
                </c:pt>
                <c:pt idx="1">
                  <c:v>Crash 300</c:v>
                </c:pt>
                <c:pt idx="2">
                  <c:v>Oro </c:v>
                </c:pt>
                <c:pt idx="3">
                  <c:v>Step 100</c:v>
                </c:pt>
                <c:pt idx="4">
                  <c:v>Step 200</c:v>
                </c:pt>
              </c:strCache>
            </c:strRef>
          </c:cat>
          <c:val>
            <c:numRef>
              <c:f>'Graficas '!$L$54:$L$59</c:f>
              <c:numCache>
                <c:formatCode>General</c:formatCode>
                <c:ptCount val="5"/>
                <c:pt idx="1">
                  <c:v>4</c:v>
                </c:pt>
                <c:pt idx="2">
                  <c:v>1</c:v>
                </c:pt>
                <c:pt idx="3">
                  <c:v>1</c:v>
                </c:pt>
                <c:pt idx="4">
                  <c:v>6</c:v>
                </c:pt>
              </c:numCache>
            </c:numRef>
          </c:val>
          <c:extLst>
            <c:ext xmlns:c16="http://schemas.microsoft.com/office/drawing/2014/chart" uri="{C3380CC4-5D6E-409C-BE32-E72D297353CC}">
              <c16:uniqueId val="{00000000-EBF9-4454-85D9-68F385C99E49}"/>
            </c:ext>
          </c:extLst>
        </c:ser>
        <c:ser>
          <c:idx val="1"/>
          <c:order val="1"/>
          <c:tx>
            <c:strRef>
              <c:f>'Graficas '!$M$52:$M$53</c:f>
              <c:strCache>
                <c:ptCount val="1"/>
                <c:pt idx="0">
                  <c:v>Perdida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 '!$K$54:$K$59</c:f>
              <c:strCache>
                <c:ptCount val="5"/>
                <c:pt idx="0">
                  <c:v>Boom 900</c:v>
                </c:pt>
                <c:pt idx="1">
                  <c:v>Crash 300</c:v>
                </c:pt>
                <c:pt idx="2">
                  <c:v>Oro </c:v>
                </c:pt>
                <c:pt idx="3">
                  <c:v>Step 100</c:v>
                </c:pt>
                <c:pt idx="4">
                  <c:v>Step 200</c:v>
                </c:pt>
              </c:strCache>
            </c:strRef>
          </c:cat>
          <c:val>
            <c:numRef>
              <c:f>'Graficas '!$M$54:$M$59</c:f>
              <c:numCache>
                <c:formatCode>General</c:formatCode>
                <c:ptCount val="5"/>
                <c:pt idx="0">
                  <c:v>1</c:v>
                </c:pt>
                <c:pt idx="4">
                  <c:v>1</c:v>
                </c:pt>
              </c:numCache>
            </c:numRef>
          </c:val>
          <c:extLst>
            <c:ext xmlns:c16="http://schemas.microsoft.com/office/drawing/2014/chart" uri="{C3380CC4-5D6E-409C-BE32-E72D297353CC}">
              <c16:uniqueId val="{00000000-B9BD-4F8A-B84A-50F748DC6C57}"/>
            </c:ext>
          </c:extLst>
        </c:ser>
        <c:dLbls>
          <c:dLblPos val="outEnd"/>
          <c:showLegendKey val="0"/>
          <c:showVal val="1"/>
          <c:showCatName val="0"/>
          <c:showSerName val="0"/>
          <c:showPercent val="0"/>
          <c:showBubbleSize val="0"/>
        </c:dLbls>
        <c:gapWidth val="219"/>
        <c:overlap val="-27"/>
        <c:axId val="645245152"/>
        <c:axId val="645245512"/>
      </c:barChart>
      <c:catAx>
        <c:axId val="64524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645245512"/>
        <c:crosses val="autoZero"/>
        <c:auto val="1"/>
        <c:lblAlgn val="ctr"/>
        <c:lblOffset val="100"/>
        <c:noMultiLvlLbl val="0"/>
      </c:catAx>
      <c:valAx>
        <c:axId val="645245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419"/>
                  <a:t>N.</a:t>
                </a:r>
                <a:r>
                  <a:rPr lang="es-419" baseline="0"/>
                  <a:t> de Operaciones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419"/>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64524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[Beprimer Cesar.xlsx]Graficas !dinmica5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'Graficas '!$S$52</c:f>
              <c:strCache>
                <c:ptCount val="1"/>
                <c:pt idx="0">
                  <c:v>Suma de RESULTADO</c:v>
                </c:pt>
              </c:strCache>
            </c:strRef>
          </c:tx>
          <c:spPr>
            <a:solidFill>
              <a:schemeClr val="accent1"/>
            </a:solidFill>
            <a:ln>
              <a:noFill/>
            </a:ln>
            <a:effectLst/>
          </c:spPr>
          <c:invertIfNegative val="0"/>
          <c:cat>
            <c:strRef>
              <c:f>'Graficas '!$R$53:$R$59</c:f>
              <c:strCache>
                <c:ptCount val="6"/>
                <c:pt idx="0">
                  <c:v>Boom 900</c:v>
                </c:pt>
                <c:pt idx="1">
                  <c:v>Crash 300</c:v>
                </c:pt>
                <c:pt idx="2">
                  <c:v>Jump 25</c:v>
                </c:pt>
                <c:pt idx="3">
                  <c:v>Oro </c:v>
                </c:pt>
                <c:pt idx="4">
                  <c:v>Step 100</c:v>
                </c:pt>
                <c:pt idx="5">
                  <c:v>Step 200</c:v>
                </c:pt>
              </c:strCache>
            </c:strRef>
          </c:cat>
          <c:val>
            <c:numRef>
              <c:f>'Graficas '!$S$53:$S$59</c:f>
              <c:numCache>
                <c:formatCode>General</c:formatCode>
                <c:ptCount val="6"/>
                <c:pt idx="0">
                  <c:v>-57.7</c:v>
                </c:pt>
                <c:pt idx="1">
                  <c:v>1590</c:v>
                </c:pt>
                <c:pt idx="3">
                  <c:v>100</c:v>
                </c:pt>
                <c:pt idx="4">
                  <c:v>2450</c:v>
                </c:pt>
                <c:pt idx="5">
                  <c:v>2969</c:v>
                </c:pt>
              </c:numCache>
            </c:numRef>
          </c:val>
          <c:extLst>
            <c:ext xmlns:c16="http://schemas.microsoft.com/office/drawing/2014/chart" uri="{C3380CC4-5D6E-409C-BE32-E72D297353CC}">
              <c16:uniqueId val="{00000000-FF22-4229-8C45-179B13F5B4B4}"/>
            </c:ext>
          </c:extLst>
        </c:ser>
        <c:dLbls>
          <c:showLegendKey val="0"/>
          <c:showVal val="0"/>
          <c:showCatName val="0"/>
          <c:showSerName val="0"/>
          <c:showPercent val="0"/>
          <c:showBubbleSize val="0"/>
        </c:dLbls>
        <c:gapWidth val="219"/>
        <c:overlap val="-27"/>
        <c:axId val="525031648"/>
        <c:axId val="525029848"/>
      </c:barChart>
      <c:lineChart>
        <c:grouping val="standard"/>
        <c:varyColors val="0"/>
        <c:ser>
          <c:idx val="1"/>
          <c:order val="1"/>
          <c:tx>
            <c:strRef>
              <c:f>'Graficas '!$T$52</c:f>
              <c:strCache>
                <c:ptCount val="1"/>
                <c:pt idx="0">
                  <c:v>Máx. de Capital</c:v>
                </c:pt>
              </c:strCache>
            </c:strRef>
          </c:tx>
          <c:spPr>
            <a:ln w="28575" cap="rnd">
              <a:solidFill>
                <a:schemeClr val="accent2"/>
              </a:solidFill>
              <a:round/>
            </a:ln>
            <a:effectLst/>
          </c:spPr>
          <c:marker>
            <c:symbol val="none"/>
          </c:marker>
          <c:cat>
            <c:strRef>
              <c:f>'Graficas '!$R$53:$R$59</c:f>
              <c:strCache>
                <c:ptCount val="6"/>
                <c:pt idx="0">
                  <c:v>Boom 900</c:v>
                </c:pt>
                <c:pt idx="1">
                  <c:v>Crash 300</c:v>
                </c:pt>
                <c:pt idx="2">
                  <c:v>Jump 25</c:v>
                </c:pt>
                <c:pt idx="3">
                  <c:v>Oro </c:v>
                </c:pt>
                <c:pt idx="4">
                  <c:v>Step 100</c:v>
                </c:pt>
                <c:pt idx="5">
                  <c:v>Step 200</c:v>
                </c:pt>
              </c:strCache>
            </c:strRef>
          </c:cat>
          <c:val>
            <c:numRef>
              <c:f>'Graficas '!$T$53:$T$59</c:f>
              <c:numCache>
                <c:formatCode>General</c:formatCode>
                <c:ptCount val="6"/>
                <c:pt idx="0">
                  <c:v>2097.3000000000002</c:v>
                </c:pt>
                <c:pt idx="1">
                  <c:v>8051.3</c:v>
                </c:pt>
                <c:pt idx="2">
                  <c:v>7791.3</c:v>
                </c:pt>
                <c:pt idx="3">
                  <c:v>7891.3</c:v>
                </c:pt>
                <c:pt idx="4">
                  <c:v>6361.3</c:v>
                </c:pt>
                <c:pt idx="5">
                  <c:v>3911.3</c:v>
                </c:pt>
              </c:numCache>
            </c:numRef>
          </c:val>
          <c:smooth val="0"/>
          <c:extLst>
            <c:ext xmlns:c16="http://schemas.microsoft.com/office/drawing/2014/chart" uri="{C3380CC4-5D6E-409C-BE32-E72D297353CC}">
              <c16:uniqueId val="{00000001-FF22-4229-8C45-179B13F5B4B4}"/>
            </c:ext>
          </c:extLst>
        </c:ser>
        <c:dLbls>
          <c:showLegendKey val="0"/>
          <c:showVal val="0"/>
          <c:showCatName val="0"/>
          <c:showSerName val="0"/>
          <c:showPercent val="0"/>
          <c:showBubbleSize val="0"/>
        </c:dLbls>
        <c:marker val="1"/>
        <c:smooth val="0"/>
        <c:axId val="525032368"/>
        <c:axId val="525030928"/>
      </c:lineChart>
      <c:catAx>
        <c:axId val="52503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525029848"/>
        <c:crosses val="autoZero"/>
        <c:auto val="1"/>
        <c:lblAlgn val="ctr"/>
        <c:lblOffset val="100"/>
        <c:noMultiLvlLbl val="0"/>
      </c:catAx>
      <c:valAx>
        <c:axId val="525029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525031648"/>
        <c:crosses val="autoZero"/>
        <c:crossBetween val="between"/>
      </c:valAx>
      <c:valAx>
        <c:axId val="52503092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419"/>
                  <a:t>Valor</a:t>
                </a:r>
                <a:r>
                  <a:rPr lang="es-419" baseline="0"/>
                  <a:t> Total USD</a:t>
                </a:r>
                <a:endParaRPr lang="es-419"/>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419"/>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525032368"/>
        <c:crosses val="max"/>
        <c:crossBetween val="between"/>
      </c:valAx>
      <c:catAx>
        <c:axId val="525032368"/>
        <c:scaling>
          <c:orientation val="minMax"/>
        </c:scaling>
        <c:delete val="1"/>
        <c:axPos val="b"/>
        <c:numFmt formatCode="General" sourceLinked="1"/>
        <c:majorTickMark val="out"/>
        <c:minorTickMark val="none"/>
        <c:tickLblPos val="nextTo"/>
        <c:crossAx val="5250309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[Beprimer Cesar.xlsx]Graficas !dinamica 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'Graficas '!$E$100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3D-47CD-8B35-D05C9D412D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3D-47CD-8B35-D05C9D412D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3D-47CD-8B35-D05C9D412D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13D-47CD-8B35-D05C9D412DC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13D-47CD-8B35-D05C9D412DC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13D-47CD-8B35-D05C9D412D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'Graficas '!$D$101:$D$107</c:f>
              <c:strCache>
                <c:ptCount val="6"/>
                <c:pt idx="0">
                  <c:v>Boom 900</c:v>
                </c:pt>
                <c:pt idx="1">
                  <c:v>Crash 300</c:v>
                </c:pt>
                <c:pt idx="2">
                  <c:v>Jump 25</c:v>
                </c:pt>
                <c:pt idx="3">
                  <c:v>Oro </c:v>
                </c:pt>
                <c:pt idx="4">
                  <c:v>Step 100</c:v>
                </c:pt>
                <c:pt idx="5">
                  <c:v>Step 200</c:v>
                </c:pt>
              </c:strCache>
            </c:strRef>
          </c:cat>
          <c:val>
            <c:numRef>
              <c:f>'Graficas '!$E$101:$E$107</c:f>
              <c:numCache>
                <c:formatCode>General</c:formatCode>
                <c:ptCount val="6"/>
                <c:pt idx="0">
                  <c:v>108.00000000000001</c:v>
                </c:pt>
                <c:pt idx="1">
                  <c:v>198</c:v>
                </c:pt>
                <c:pt idx="2">
                  <c:v>43.000000000000007</c:v>
                </c:pt>
                <c:pt idx="3">
                  <c:v>30.000000000000014</c:v>
                </c:pt>
                <c:pt idx="4">
                  <c:v>38.000000000000028</c:v>
                </c:pt>
                <c:pt idx="5">
                  <c:v>770</c:v>
                </c:pt>
              </c:numCache>
            </c:numRef>
          </c:val>
          <c:extLst>
            <c:ext xmlns:c16="http://schemas.microsoft.com/office/drawing/2014/chart" uri="{C3380CC4-5D6E-409C-BE32-E72D297353CC}">
              <c16:uniqueId val="{00000000-803F-4908-9C81-B287D8F2255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276225</xdr:colOff>
      <xdr:row>3</xdr:row>
      <xdr:rowOff>66674</xdr:rowOff>
    </xdr:from>
    <xdr:to>
      <xdr:col>5</xdr:col>
      <xdr:colOff>123825</xdr:colOff>
      <xdr:row>9</xdr:row>
      <xdr:rowOff>123264</xdr:rowOff>
    </xdr:to>
    <xdr:sp macro="" textlink="">
      <xdr:nvSpPr>
        <xdr:cNvPr id="10" name="TextBox 13">
          <a:extLst>
            <a:ext uri="{FF2B5EF4-FFF2-40B4-BE49-F238E27FC236}">
              <a16:creationId xmlns:a16="http://schemas.microsoft.com/office/drawing/2014/main" id="{4F6DA1DA-9445-429D-8EC4-376538210105}"/>
            </a:ext>
          </a:extLst>
        </xdr:cNvPr>
        <xdr:cNvSpPr txBox="1"/>
      </xdr:nvSpPr>
      <xdr:spPr>
        <a:xfrm>
          <a:off x="1038225" y="866774"/>
          <a:ext cx="2771775" cy="11995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Filtro de meses</a:t>
          </a:r>
          <a:r>
            <a:rPr lang="en-US" sz="1100"/>
            <a:t>:</a:t>
          </a:r>
          <a:r>
            <a:rPr lang="en-US" sz="1100" baseline="0"/>
            <a:t> seleccionar los meses que se quieran evaluar. En caso de que se quiera ver todo el historial quitar el filtro con el símbolo X.</a:t>
          </a:r>
        </a:p>
        <a:p>
          <a:r>
            <a:rPr lang="en-US" sz="1100" baseline="0"/>
            <a:t>Escoger primero el mes, y luego la semana que se quiere estudiar.</a:t>
          </a:r>
          <a:endParaRPr lang="en-US" sz="1100"/>
        </a:p>
      </xdr:txBody>
    </xdr:sp>
    <xdr:clientData/>
  </xdr:twoCellAnchor>
  <xdr:twoCellAnchor>
    <xdr:from>
      <xdr:col>5</xdr:col>
      <xdr:colOff>723900</xdr:colOff>
      <xdr:row>3</xdr:row>
      <xdr:rowOff>76199</xdr:rowOff>
    </xdr:from>
    <xdr:to>
      <xdr:col>13</xdr:col>
      <xdr:colOff>466725</xdr:colOff>
      <xdr:row>7</xdr:row>
      <xdr:rowOff>133350</xdr:rowOff>
    </xdr:to>
    <xdr:sp macro="" textlink="">
      <xdr:nvSpPr>
        <xdr:cNvPr id="11" name="TextBox 14">
          <a:extLst>
            <a:ext uri="{FF2B5EF4-FFF2-40B4-BE49-F238E27FC236}">
              <a16:creationId xmlns:a16="http://schemas.microsoft.com/office/drawing/2014/main" id="{483BD133-528F-45B9-BDBC-16C705D5D401}"/>
            </a:ext>
          </a:extLst>
        </xdr:cNvPr>
        <xdr:cNvSpPr txBox="1"/>
      </xdr:nvSpPr>
      <xdr:spPr>
        <a:xfrm>
          <a:off x="4410075" y="876299"/>
          <a:ext cx="5838825" cy="8191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Cantidad de operaciones</a:t>
          </a:r>
          <a:r>
            <a:rPr lang="en-US" sz="1100" b="1" baseline="0"/>
            <a:t> realizadas en el mes</a:t>
          </a:r>
          <a:r>
            <a:rPr lang="en-US" sz="1100" b="1"/>
            <a:t>:</a:t>
          </a:r>
          <a:r>
            <a:rPr lang="en-US" sz="1100" b="1" baseline="0"/>
            <a:t> </a:t>
          </a:r>
          <a:r>
            <a:rPr lang="en-US" sz="1100" baseline="0"/>
            <a:t>en esta gráfica se pueden revisar las operaciones que se están realizando por mes. Con los botones +/- del lado inferior derecho del gráfico se puede ver con mayor detalle cada día. Para tener una vista rápida del número de operaciones diario. </a:t>
          </a:r>
          <a:endParaRPr lang="en-US" sz="1100"/>
        </a:p>
      </xdr:txBody>
    </xdr:sp>
    <xdr:clientData/>
  </xdr:twoCellAnchor>
  <xdr:twoCellAnchor>
    <xdr:from>
      <xdr:col>14</xdr:col>
      <xdr:colOff>466725</xdr:colOff>
      <xdr:row>3</xdr:row>
      <xdr:rowOff>66674</xdr:rowOff>
    </xdr:from>
    <xdr:to>
      <xdr:col>22</xdr:col>
      <xdr:colOff>209550</xdr:colOff>
      <xdr:row>6</xdr:row>
      <xdr:rowOff>108857</xdr:rowOff>
    </xdr:to>
    <xdr:sp macro="" textlink="">
      <xdr:nvSpPr>
        <xdr:cNvPr id="12" name="TextBox 15">
          <a:extLst>
            <a:ext uri="{FF2B5EF4-FFF2-40B4-BE49-F238E27FC236}">
              <a16:creationId xmlns:a16="http://schemas.microsoft.com/office/drawing/2014/main" id="{7D0969EC-8E56-4BC6-9DBF-0812DC465268}"/>
            </a:ext>
          </a:extLst>
        </xdr:cNvPr>
        <xdr:cNvSpPr txBox="1"/>
      </xdr:nvSpPr>
      <xdr:spPr>
        <a:xfrm>
          <a:off x="14645368" y="855888"/>
          <a:ext cx="7594146" cy="6136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Curva de crecimiento de capital: </a:t>
          </a:r>
          <a:r>
            <a:rPr lang="en-US" sz="1100"/>
            <a:t>con</a:t>
          </a:r>
          <a:r>
            <a:rPr lang="en-US" sz="1100" baseline="0"/>
            <a:t> esta se puede observar el crecimiento/decrecimiento del capital inicial de la cuenta. Permitirá analizarlo por día o mes expandiendo el gráfico con los botones +/- de la parte inferior izquierda</a:t>
          </a:r>
          <a:endParaRPr lang="en-US" sz="1100"/>
        </a:p>
      </xdr:txBody>
    </xdr:sp>
    <xdr:clientData/>
  </xdr:twoCellAnchor>
  <xdr:twoCellAnchor>
    <xdr:from>
      <xdr:col>2</xdr:col>
      <xdr:colOff>9525</xdr:colOff>
      <xdr:row>2</xdr:row>
      <xdr:rowOff>104775</xdr:rowOff>
    </xdr:from>
    <xdr:to>
      <xdr:col>26</xdr:col>
      <xdr:colOff>523113</xdr:colOff>
      <xdr:row>2</xdr:row>
      <xdr:rowOff>104775</xdr:rowOff>
    </xdr:to>
    <xdr:cxnSp macro="">
      <xdr:nvCxnSpPr>
        <xdr:cNvPr id="13" name="Straight Connector 17">
          <a:extLst>
            <a:ext uri="{FF2B5EF4-FFF2-40B4-BE49-F238E27FC236}">
              <a16:creationId xmlns:a16="http://schemas.microsoft.com/office/drawing/2014/main" id="{019E9296-02C8-438D-B574-3374BB337512}"/>
            </a:ext>
          </a:extLst>
        </xdr:cNvPr>
        <xdr:cNvCxnSpPr/>
      </xdr:nvCxnSpPr>
      <xdr:spPr>
        <a:xfrm flipV="1">
          <a:off x="1104900" y="600075"/>
          <a:ext cx="20211288" cy="0"/>
        </a:xfrm>
        <a:prstGeom prst="line">
          <a:avLst/>
        </a:prstGeom>
        <a:ln>
          <a:solidFill>
            <a:schemeClr val="accent6">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45</xdr:row>
      <xdr:rowOff>95250</xdr:rowOff>
    </xdr:from>
    <xdr:to>
      <xdr:col>26</xdr:col>
      <xdr:colOff>513588</xdr:colOff>
      <xdr:row>45</xdr:row>
      <xdr:rowOff>95250</xdr:rowOff>
    </xdr:to>
    <xdr:cxnSp macro="">
      <xdr:nvCxnSpPr>
        <xdr:cNvPr id="14" name="Straight Connector 22">
          <a:extLst>
            <a:ext uri="{FF2B5EF4-FFF2-40B4-BE49-F238E27FC236}">
              <a16:creationId xmlns:a16="http://schemas.microsoft.com/office/drawing/2014/main" id="{76C54480-2C65-445E-A581-19B44DDC2396}"/>
            </a:ext>
          </a:extLst>
        </xdr:cNvPr>
        <xdr:cNvCxnSpPr/>
      </xdr:nvCxnSpPr>
      <xdr:spPr>
        <a:xfrm flipV="1">
          <a:off x="1095375" y="5991225"/>
          <a:ext cx="20211288" cy="0"/>
        </a:xfrm>
        <a:prstGeom prst="line">
          <a:avLst/>
        </a:prstGeom>
        <a:ln>
          <a:solidFill>
            <a:schemeClr val="accent6">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xdr:colOff>
      <xdr:row>46</xdr:row>
      <xdr:rowOff>0</xdr:rowOff>
    </xdr:from>
    <xdr:to>
      <xdr:col>7</xdr:col>
      <xdr:colOff>361951</xdr:colOff>
      <xdr:row>50</xdr:row>
      <xdr:rowOff>57151</xdr:rowOff>
    </xdr:to>
    <xdr:sp macro="" textlink="">
      <xdr:nvSpPr>
        <xdr:cNvPr id="15" name="TextBox 23">
          <a:extLst>
            <a:ext uri="{FF2B5EF4-FFF2-40B4-BE49-F238E27FC236}">
              <a16:creationId xmlns:a16="http://schemas.microsoft.com/office/drawing/2014/main" id="{3ADD4B07-8276-48C9-A157-96E737FF537F}"/>
            </a:ext>
          </a:extLst>
        </xdr:cNvPr>
        <xdr:cNvSpPr txBox="1"/>
      </xdr:nvSpPr>
      <xdr:spPr>
        <a:xfrm>
          <a:off x="1095376" y="6086475"/>
          <a:ext cx="4476750" cy="8191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Operaciones realizadas</a:t>
          </a:r>
          <a:r>
            <a:rPr lang="en-US" sz="1100" b="1" baseline="0"/>
            <a:t> por índice: </a:t>
          </a:r>
          <a:r>
            <a:rPr lang="en-US" sz="1100" baseline="0"/>
            <a:t>permite ver cuáles son los índices que más se están operando y cuál es el número de operaciones que se están teniendo al mes por cada uno. El filtro inicial del mes incide sobre este gráfico, por lo que al cambiarlo este y los de esta sección también cambian. </a:t>
          </a:r>
          <a:endParaRPr lang="en-US" sz="1100"/>
        </a:p>
      </xdr:txBody>
    </xdr:sp>
    <xdr:clientData/>
  </xdr:twoCellAnchor>
  <xdr:twoCellAnchor>
    <xdr:from>
      <xdr:col>8</xdr:col>
      <xdr:colOff>457201</xdr:colOff>
      <xdr:row>46</xdr:row>
      <xdr:rowOff>28576</xdr:rowOff>
    </xdr:from>
    <xdr:to>
      <xdr:col>15</xdr:col>
      <xdr:colOff>485775</xdr:colOff>
      <xdr:row>49</xdr:row>
      <xdr:rowOff>10584</xdr:rowOff>
    </xdr:to>
    <xdr:sp macro="" textlink="">
      <xdr:nvSpPr>
        <xdr:cNvPr id="16" name="TextBox 24">
          <a:extLst>
            <a:ext uri="{FF2B5EF4-FFF2-40B4-BE49-F238E27FC236}">
              <a16:creationId xmlns:a16="http://schemas.microsoft.com/office/drawing/2014/main" id="{D176449C-0B3C-40FA-ABEA-FBFB363AD5C8}"/>
            </a:ext>
          </a:extLst>
        </xdr:cNvPr>
        <xdr:cNvSpPr txBox="1"/>
      </xdr:nvSpPr>
      <xdr:spPr>
        <a:xfrm>
          <a:off x="7897284" y="6124576"/>
          <a:ext cx="6801908" cy="5535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Efectividad de las operaciones por índice</a:t>
          </a:r>
          <a:r>
            <a:rPr lang="en-US" sz="1100" b="1" baseline="0"/>
            <a:t>: </a:t>
          </a:r>
          <a:r>
            <a:rPr lang="en-US" sz="1100" b="0" baseline="0"/>
            <a:t>se puede observar rapidamente aquellos índices que están siendo más certeros y que se están llevando a ganancia. break even o pérdida</a:t>
          </a:r>
          <a:endParaRPr lang="en-US" sz="1100"/>
        </a:p>
      </xdr:txBody>
    </xdr:sp>
    <xdr:clientData/>
  </xdr:twoCellAnchor>
  <xdr:twoCellAnchor>
    <xdr:from>
      <xdr:col>16</xdr:col>
      <xdr:colOff>400050</xdr:colOff>
      <xdr:row>46</xdr:row>
      <xdr:rowOff>66675</xdr:rowOff>
    </xdr:from>
    <xdr:to>
      <xdr:col>23</xdr:col>
      <xdr:colOff>314324</xdr:colOff>
      <xdr:row>50</xdr:row>
      <xdr:rowOff>123826</xdr:rowOff>
    </xdr:to>
    <xdr:sp macro="" textlink="">
      <xdr:nvSpPr>
        <xdr:cNvPr id="17" name="TextBox 25">
          <a:extLst>
            <a:ext uri="{FF2B5EF4-FFF2-40B4-BE49-F238E27FC236}">
              <a16:creationId xmlns:a16="http://schemas.microsoft.com/office/drawing/2014/main" id="{8D51F58E-3D2E-4073-A761-8794F76D2DBA}"/>
            </a:ext>
          </a:extLst>
        </xdr:cNvPr>
        <xdr:cNvSpPr txBox="1"/>
      </xdr:nvSpPr>
      <xdr:spPr>
        <a:xfrm>
          <a:off x="12468225" y="6153150"/>
          <a:ext cx="5362574" cy="8191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baseline="0"/>
            <a:t>Cantidad de capital generado en USD: </a:t>
          </a:r>
          <a:r>
            <a:rPr lang="en-US" sz="1100" b="0" baseline="0"/>
            <a:t>muestra cuáles son las pérdidas o ganancias de cada uno de los índices. Para saber cuáles están generando mayor rentabilidad, o por el contrario mayor pérdidas en dólares. </a:t>
          </a:r>
          <a:endParaRPr lang="en-US" sz="1100"/>
        </a:p>
      </xdr:txBody>
    </xdr:sp>
    <xdr:clientData/>
  </xdr:twoCellAnchor>
  <xdr:twoCellAnchor>
    <xdr:from>
      <xdr:col>23</xdr:col>
      <xdr:colOff>895350</xdr:colOff>
      <xdr:row>46</xdr:row>
      <xdr:rowOff>19050</xdr:rowOff>
    </xdr:from>
    <xdr:to>
      <xdr:col>27</xdr:col>
      <xdr:colOff>219075</xdr:colOff>
      <xdr:row>50</xdr:row>
      <xdr:rowOff>76201</xdr:rowOff>
    </xdr:to>
    <xdr:sp macro="" textlink="">
      <xdr:nvSpPr>
        <xdr:cNvPr id="18" name="TextBox 26">
          <a:extLst>
            <a:ext uri="{FF2B5EF4-FFF2-40B4-BE49-F238E27FC236}">
              <a16:creationId xmlns:a16="http://schemas.microsoft.com/office/drawing/2014/main" id="{8DBA3C83-48C6-41BF-A1B6-60AEB8E39305}"/>
            </a:ext>
          </a:extLst>
        </xdr:cNvPr>
        <xdr:cNvSpPr txBox="1"/>
      </xdr:nvSpPr>
      <xdr:spPr>
        <a:xfrm>
          <a:off x="18411825" y="6105525"/>
          <a:ext cx="3362325" cy="8191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Tabla de lotajes promedio:</a:t>
          </a:r>
          <a:r>
            <a:rPr lang="en-US" sz="1100" b="1" baseline="0"/>
            <a:t> </a:t>
          </a:r>
          <a:r>
            <a:rPr lang="en-US" sz="1100" b="0" baseline="0"/>
            <a:t>cálcula los lotajes promedio que se han utilizado durante el mes filtrado. Ideal para cuentas de fondeo de Befunding. </a:t>
          </a:r>
          <a:endParaRPr lang="en-US" sz="1100" b="0"/>
        </a:p>
      </xdr:txBody>
    </xdr:sp>
    <xdr:clientData/>
  </xdr:twoCellAnchor>
  <xdr:twoCellAnchor>
    <xdr:from>
      <xdr:col>2</xdr:col>
      <xdr:colOff>28575</xdr:colOff>
      <xdr:row>73</xdr:row>
      <xdr:rowOff>123825</xdr:rowOff>
    </xdr:from>
    <xdr:to>
      <xdr:col>26</xdr:col>
      <xdr:colOff>542163</xdr:colOff>
      <xdr:row>73</xdr:row>
      <xdr:rowOff>123825</xdr:rowOff>
    </xdr:to>
    <xdr:cxnSp macro="">
      <xdr:nvCxnSpPr>
        <xdr:cNvPr id="19" name="Straight Connector 27">
          <a:extLst>
            <a:ext uri="{FF2B5EF4-FFF2-40B4-BE49-F238E27FC236}">
              <a16:creationId xmlns:a16="http://schemas.microsoft.com/office/drawing/2014/main" id="{F5B9229B-8C69-44BA-A96B-E689BCF62F99}"/>
            </a:ext>
          </a:extLst>
        </xdr:cNvPr>
        <xdr:cNvCxnSpPr/>
      </xdr:nvCxnSpPr>
      <xdr:spPr>
        <a:xfrm flipV="1">
          <a:off x="1123950" y="11496675"/>
          <a:ext cx="20211288" cy="0"/>
        </a:xfrm>
        <a:prstGeom prst="line">
          <a:avLst/>
        </a:prstGeom>
        <a:ln>
          <a:solidFill>
            <a:schemeClr val="accent6">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75</xdr:row>
      <xdr:rowOff>0</xdr:rowOff>
    </xdr:from>
    <xdr:to>
      <xdr:col>7</xdr:col>
      <xdr:colOff>361950</xdr:colOff>
      <xdr:row>79</xdr:row>
      <xdr:rowOff>57151</xdr:rowOff>
    </xdr:to>
    <xdr:sp macro="" textlink="">
      <xdr:nvSpPr>
        <xdr:cNvPr id="20" name="TextBox 28">
          <a:extLst>
            <a:ext uri="{FF2B5EF4-FFF2-40B4-BE49-F238E27FC236}">
              <a16:creationId xmlns:a16="http://schemas.microsoft.com/office/drawing/2014/main" id="{39523281-BDE1-4C0E-987D-81C2D85D782F}"/>
            </a:ext>
          </a:extLst>
        </xdr:cNvPr>
        <xdr:cNvSpPr txBox="1"/>
      </xdr:nvSpPr>
      <xdr:spPr>
        <a:xfrm>
          <a:off x="1095375" y="11753850"/>
          <a:ext cx="4476750" cy="8191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Resumen de emociones mensual</a:t>
          </a:r>
          <a:r>
            <a:rPr lang="en-US" sz="1100" b="1" baseline="0"/>
            <a:t>: </a:t>
          </a:r>
          <a:r>
            <a:rPr lang="en-US" sz="1100" baseline="0"/>
            <a:t>muestra las emociones que gobernaron todo el mes o el tiempo seleccionado durante la operativa. Estos gráficos están conectados con el mes inicial del filtro.</a:t>
          </a:r>
          <a:endParaRPr lang="en-US" sz="1100"/>
        </a:p>
      </xdr:txBody>
    </xdr:sp>
    <xdr:clientData/>
  </xdr:twoCellAnchor>
  <xdr:twoCellAnchor>
    <xdr:from>
      <xdr:col>9</xdr:col>
      <xdr:colOff>723900</xdr:colOff>
      <xdr:row>75</xdr:row>
      <xdr:rowOff>47625</xdr:rowOff>
    </xdr:from>
    <xdr:to>
      <xdr:col>18</xdr:col>
      <xdr:colOff>552450</xdr:colOff>
      <xdr:row>79</xdr:row>
      <xdr:rowOff>104776</xdr:rowOff>
    </xdr:to>
    <xdr:sp macro="" textlink="">
      <xdr:nvSpPr>
        <xdr:cNvPr id="21" name="TextBox 29">
          <a:extLst>
            <a:ext uri="{FF2B5EF4-FFF2-40B4-BE49-F238E27FC236}">
              <a16:creationId xmlns:a16="http://schemas.microsoft.com/office/drawing/2014/main" id="{E4DBE5F7-8A94-4BDE-AF2E-8E192A214CCE}"/>
            </a:ext>
          </a:extLst>
        </xdr:cNvPr>
        <xdr:cNvSpPr txBox="1"/>
      </xdr:nvSpPr>
      <xdr:spPr>
        <a:xfrm>
          <a:off x="7458075" y="11801475"/>
          <a:ext cx="6686550" cy="8191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Emociones según</a:t>
          </a:r>
          <a:r>
            <a:rPr lang="en-US" sz="1100" b="1" baseline="0"/>
            <a:t> índice: </a:t>
          </a:r>
          <a:r>
            <a:rPr lang="en-US" sz="1100" baseline="0"/>
            <a:t>pueden observar cuáles son los índices que les generan mayores emociones negativas. Cuáles son los índices con los que sienten más confianza, para luego hacer un backtesting del psicotrading que se ha manejado en los índices según corresponda. El filtro permite observar los índices operados en este mes. </a:t>
          </a:r>
          <a:endParaRPr lang="en-US" sz="1100"/>
        </a:p>
      </xdr:txBody>
    </xdr:sp>
    <xdr:clientData/>
  </xdr:twoCellAnchor>
  <xdr:twoCellAnchor>
    <xdr:from>
      <xdr:col>2</xdr:col>
      <xdr:colOff>96759</xdr:colOff>
      <xdr:row>78</xdr:row>
      <xdr:rowOff>162225</xdr:rowOff>
    </xdr:from>
    <xdr:to>
      <xdr:col>7</xdr:col>
      <xdr:colOff>678843</xdr:colOff>
      <xdr:row>95</xdr:row>
      <xdr:rowOff>184452</xdr:rowOff>
    </xdr:to>
    <xdr:graphicFrame macro="">
      <xdr:nvGraphicFramePr>
        <xdr:cNvPr id="33" name="Gráfico 32">
          <a:extLst>
            <a:ext uri="{FF2B5EF4-FFF2-40B4-BE49-F238E27FC236}">
              <a16:creationId xmlns:a16="http://schemas.microsoft.com/office/drawing/2014/main" id="{DF2C0EB2-7230-DEDB-7662-2A2D0CB85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734785</xdr:colOff>
      <xdr:row>78</xdr:row>
      <xdr:rowOff>77562</xdr:rowOff>
    </xdr:from>
    <xdr:to>
      <xdr:col>16</xdr:col>
      <xdr:colOff>449035</xdr:colOff>
      <xdr:row>95</xdr:row>
      <xdr:rowOff>152704</xdr:rowOff>
    </xdr:to>
    <xdr:graphicFrame macro="">
      <xdr:nvGraphicFramePr>
        <xdr:cNvPr id="34" name="Gráfico 33">
          <a:extLst>
            <a:ext uri="{FF2B5EF4-FFF2-40B4-BE49-F238E27FC236}">
              <a16:creationId xmlns:a16="http://schemas.microsoft.com/office/drawing/2014/main" id="{58E9F700-08D2-59EF-8673-A362F7706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299356</xdr:colOff>
      <xdr:row>6</xdr:row>
      <xdr:rowOff>176213</xdr:rowOff>
    </xdr:from>
    <xdr:to>
      <xdr:col>12</xdr:col>
      <xdr:colOff>576942</xdr:colOff>
      <xdr:row>27</xdr:row>
      <xdr:rowOff>105456</xdr:rowOff>
    </xdr:to>
    <xdr:graphicFrame macro="">
      <xdr:nvGraphicFramePr>
        <xdr:cNvPr id="37" name="Gráfico 36">
          <a:extLst>
            <a:ext uri="{FF2B5EF4-FFF2-40B4-BE49-F238E27FC236}">
              <a16:creationId xmlns:a16="http://schemas.microsoft.com/office/drawing/2014/main" id="{6BF04A0B-C116-51D1-6CBC-A44E1FB59E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518772</xdr:colOff>
      <xdr:row>6</xdr:row>
      <xdr:rowOff>104775</xdr:rowOff>
    </xdr:from>
    <xdr:to>
      <xdr:col>20</xdr:col>
      <xdr:colOff>716076</xdr:colOff>
      <xdr:row>27</xdr:row>
      <xdr:rowOff>129268</xdr:rowOff>
    </xdr:to>
    <xdr:graphicFrame macro="">
      <xdr:nvGraphicFramePr>
        <xdr:cNvPr id="39" name="Gráfico 38">
          <a:extLst>
            <a:ext uri="{FF2B5EF4-FFF2-40B4-BE49-F238E27FC236}">
              <a16:creationId xmlns:a16="http://schemas.microsoft.com/office/drawing/2014/main" id="{96FC2B12-58CE-2F13-C5AD-727C4D27AB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115661</xdr:colOff>
      <xdr:row>50</xdr:row>
      <xdr:rowOff>166006</xdr:rowOff>
    </xdr:from>
    <xdr:to>
      <xdr:col>7</xdr:col>
      <xdr:colOff>1047751</xdr:colOff>
      <xdr:row>69</xdr:row>
      <xdr:rowOff>81641</xdr:rowOff>
    </xdr:to>
    <xdr:graphicFrame macro="">
      <xdr:nvGraphicFramePr>
        <xdr:cNvPr id="41" name="Gráfico 40">
          <a:extLst>
            <a:ext uri="{FF2B5EF4-FFF2-40B4-BE49-F238E27FC236}">
              <a16:creationId xmlns:a16="http://schemas.microsoft.com/office/drawing/2014/main" id="{68E5838E-7AA1-9676-00AA-2E7804093A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564694</xdr:colOff>
      <xdr:row>49</xdr:row>
      <xdr:rowOff>43542</xdr:rowOff>
    </xdr:from>
    <xdr:to>
      <xdr:col>15</xdr:col>
      <xdr:colOff>231321</xdr:colOff>
      <xdr:row>69</xdr:row>
      <xdr:rowOff>68036</xdr:rowOff>
    </xdr:to>
    <xdr:graphicFrame macro="">
      <xdr:nvGraphicFramePr>
        <xdr:cNvPr id="42" name="Gráfico 41">
          <a:extLst>
            <a:ext uri="{FF2B5EF4-FFF2-40B4-BE49-F238E27FC236}">
              <a16:creationId xmlns:a16="http://schemas.microsoft.com/office/drawing/2014/main" id="{07F0809B-7671-51A2-D67E-C8D5C8B469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551090</xdr:colOff>
      <xdr:row>49</xdr:row>
      <xdr:rowOff>84363</xdr:rowOff>
    </xdr:from>
    <xdr:to>
      <xdr:col>22</xdr:col>
      <xdr:colOff>312965</xdr:colOff>
      <xdr:row>69</xdr:row>
      <xdr:rowOff>81642</xdr:rowOff>
    </xdr:to>
    <xdr:graphicFrame macro="">
      <xdr:nvGraphicFramePr>
        <xdr:cNvPr id="43" name="Gráfico 42">
          <a:extLst>
            <a:ext uri="{FF2B5EF4-FFF2-40B4-BE49-F238E27FC236}">
              <a16:creationId xmlns:a16="http://schemas.microsoft.com/office/drawing/2014/main" id="{651D101F-51B2-F8ED-6305-A6687C7901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51707</xdr:colOff>
      <xdr:row>8</xdr:row>
      <xdr:rowOff>91168</xdr:rowOff>
    </xdr:from>
    <xdr:to>
      <xdr:col>3</xdr:col>
      <xdr:colOff>1213757</xdr:colOff>
      <xdr:row>17</xdr:row>
      <xdr:rowOff>0</xdr:rowOff>
    </xdr:to>
    <mc:AlternateContent xmlns:mc="http://schemas.openxmlformats.org/markup-compatibility/2006" xmlns:a14="http://schemas.microsoft.com/office/drawing/2010/main">
      <mc:Choice Requires="a14">
        <xdr:graphicFrame macro="">
          <xdr:nvGraphicFramePr>
            <xdr:cNvPr id="44" name="MES">
              <a:extLst>
                <a:ext uri="{FF2B5EF4-FFF2-40B4-BE49-F238E27FC236}">
                  <a16:creationId xmlns:a16="http://schemas.microsoft.com/office/drawing/2014/main" id="{DC14AA7D-445C-1878-0D40-F8B8CB052A4C}"/>
                </a:ext>
              </a:extLst>
            </xdr:cNvPr>
            <xdr:cNvGraphicFramePr/>
          </xdr:nvGraphicFramePr>
          <xdr:xfrm>
            <a:off x="0" y="0"/>
            <a:ext cx="0" cy="0"/>
          </xdr:xfrm>
          <a:graphic>
            <a:graphicData uri="http://schemas.microsoft.com/office/drawing/2010/slicer">
              <sle:slicer xmlns:sle="http://schemas.microsoft.com/office/drawing/2010/slicer" name="MES"/>
            </a:graphicData>
          </a:graphic>
        </xdr:graphicFrame>
      </mc:Choice>
      <mc:Fallback xmlns="">
        <xdr:sp macro="" textlink="">
          <xdr:nvSpPr>
            <xdr:cNvPr id="0" name=""/>
            <xdr:cNvSpPr>
              <a:spLocks noTextEdit="1"/>
            </xdr:cNvSpPr>
          </xdr:nvSpPr>
          <xdr:spPr>
            <a:xfrm>
              <a:off x="1153886" y="1832882"/>
              <a:ext cx="1828800" cy="1623332"/>
            </a:xfrm>
            <a:prstGeom prst="rect">
              <a:avLst/>
            </a:prstGeom>
            <a:solidFill>
              <a:prstClr val="white"/>
            </a:solidFill>
            <a:ln w="1">
              <a:solidFill>
                <a:prstClr val="green"/>
              </a:solidFill>
            </a:ln>
          </xdr:spPr>
          <xdr:txBody>
            <a:bodyPr vertOverflow="clip" horzOverflow="clip"/>
            <a:lstStyle/>
            <a:p>
              <a:r>
                <a:rPr lang="es-419"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16</xdr:col>
      <xdr:colOff>1578428</xdr:colOff>
      <xdr:row>78</xdr:row>
      <xdr:rowOff>122465</xdr:rowOff>
    </xdr:from>
    <xdr:to>
      <xdr:col>18</xdr:col>
      <xdr:colOff>834798</xdr:colOff>
      <xdr:row>92</xdr:row>
      <xdr:rowOff>122465</xdr:rowOff>
    </xdr:to>
    <mc:AlternateContent xmlns:mc="http://schemas.openxmlformats.org/markup-compatibility/2006" xmlns:a14="http://schemas.microsoft.com/office/drawing/2010/main">
      <mc:Choice Requires="a14">
        <xdr:graphicFrame macro="">
          <xdr:nvGraphicFramePr>
            <xdr:cNvPr id="45" name="ÍNDICE">
              <a:extLst>
                <a:ext uri="{FF2B5EF4-FFF2-40B4-BE49-F238E27FC236}">
                  <a16:creationId xmlns:a16="http://schemas.microsoft.com/office/drawing/2014/main" id="{BE4E932C-9878-5994-4620-F3D9B73061EB}"/>
                </a:ext>
              </a:extLst>
            </xdr:cNvPr>
            <xdr:cNvGraphicFramePr/>
          </xdr:nvGraphicFramePr>
          <xdr:xfrm>
            <a:off x="0" y="0"/>
            <a:ext cx="0" cy="0"/>
          </xdr:xfrm>
          <a:graphic>
            <a:graphicData uri="http://schemas.microsoft.com/office/drawing/2010/slicer">
              <sle:slicer xmlns:sle="http://schemas.microsoft.com/office/drawing/2010/slicer" name="ÍNDICE"/>
            </a:graphicData>
          </a:graphic>
        </xdr:graphicFrame>
      </mc:Choice>
      <mc:Fallback xmlns="">
        <xdr:sp macro="" textlink="">
          <xdr:nvSpPr>
            <xdr:cNvPr id="0" name=""/>
            <xdr:cNvSpPr>
              <a:spLocks noTextEdit="1"/>
            </xdr:cNvSpPr>
          </xdr:nvSpPr>
          <xdr:spPr>
            <a:xfrm>
              <a:off x="18935699" y="12450536"/>
              <a:ext cx="1828800" cy="2667000"/>
            </a:xfrm>
            <a:prstGeom prst="rect">
              <a:avLst/>
            </a:prstGeom>
            <a:solidFill>
              <a:prstClr val="white"/>
            </a:solidFill>
            <a:ln w="1">
              <a:solidFill>
                <a:prstClr val="green"/>
              </a:solidFill>
            </a:ln>
          </xdr:spPr>
          <xdr:txBody>
            <a:bodyPr vertOverflow="clip" horzOverflow="clip"/>
            <a:lstStyle/>
            <a:p>
              <a:r>
                <a:rPr lang="es-419"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3</xdr:col>
      <xdr:colOff>1630135</xdr:colOff>
      <xdr:row>8</xdr:row>
      <xdr:rowOff>118382</xdr:rowOff>
    </xdr:from>
    <xdr:to>
      <xdr:col>5</xdr:col>
      <xdr:colOff>497001</xdr:colOff>
      <xdr:row>19</xdr:row>
      <xdr:rowOff>122464</xdr:rowOff>
    </xdr:to>
    <mc:AlternateContent xmlns:mc="http://schemas.openxmlformats.org/markup-compatibility/2006" xmlns:a14="http://schemas.microsoft.com/office/drawing/2010/main">
      <mc:Choice Requires="a14">
        <xdr:graphicFrame macro="">
          <xdr:nvGraphicFramePr>
            <xdr:cNvPr id="46" name="SEMANA">
              <a:extLst>
                <a:ext uri="{FF2B5EF4-FFF2-40B4-BE49-F238E27FC236}">
                  <a16:creationId xmlns:a16="http://schemas.microsoft.com/office/drawing/2014/main" id="{78C38A35-8BAB-85C3-9FBA-A84EAAE30472}"/>
                </a:ext>
              </a:extLst>
            </xdr:cNvPr>
            <xdr:cNvGraphicFramePr/>
          </xdr:nvGraphicFramePr>
          <xdr:xfrm>
            <a:off x="0" y="0"/>
            <a:ext cx="0" cy="0"/>
          </xdr:xfrm>
          <a:graphic>
            <a:graphicData uri="http://schemas.microsoft.com/office/drawing/2010/slicer">
              <sle:slicer xmlns:sle="http://schemas.microsoft.com/office/drawing/2010/slicer" name="SEMANA"/>
            </a:graphicData>
          </a:graphic>
        </xdr:graphicFrame>
      </mc:Choice>
      <mc:Fallback xmlns="">
        <xdr:sp macro="" textlink="">
          <xdr:nvSpPr>
            <xdr:cNvPr id="0" name=""/>
            <xdr:cNvSpPr>
              <a:spLocks noTextEdit="1"/>
            </xdr:cNvSpPr>
          </xdr:nvSpPr>
          <xdr:spPr>
            <a:xfrm>
              <a:off x="3332389" y="1860096"/>
              <a:ext cx="1828800" cy="2099582"/>
            </a:xfrm>
            <a:prstGeom prst="rect">
              <a:avLst/>
            </a:prstGeom>
            <a:solidFill>
              <a:prstClr val="white"/>
            </a:solidFill>
            <a:ln w="1">
              <a:solidFill>
                <a:prstClr val="green"/>
              </a:solidFill>
            </a:ln>
          </xdr:spPr>
          <xdr:txBody>
            <a:bodyPr vertOverflow="clip" horzOverflow="clip"/>
            <a:lstStyle/>
            <a:p>
              <a:r>
                <a:rPr lang="es-419"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2</xdr:col>
      <xdr:colOff>136921</xdr:colOff>
      <xdr:row>98</xdr:row>
      <xdr:rowOff>3571</xdr:rowOff>
    </xdr:from>
    <xdr:to>
      <xdr:col>8</xdr:col>
      <xdr:colOff>369093</xdr:colOff>
      <xdr:row>119</xdr:row>
      <xdr:rowOff>71437</xdr:rowOff>
    </xdr:to>
    <xdr:graphicFrame macro="">
      <xdr:nvGraphicFramePr>
        <xdr:cNvPr id="3" name="Gráfico 2">
          <a:extLst>
            <a:ext uri="{FF2B5EF4-FFF2-40B4-BE49-F238E27FC236}">
              <a16:creationId xmlns:a16="http://schemas.microsoft.com/office/drawing/2014/main" id="{7EC207BE-C63E-0957-4241-0C93239D6B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lliam" refreshedDate="45968.593848263889" createdVersion="8" refreshedVersion="8" minRefreshableVersion="3" recordCount="100" xr:uid="{B51C80B5-CD18-4AA9-98CC-D661A3362D6F}">
  <cacheSource type="worksheet">
    <worksheetSource ref="C6:U106" sheet="Bitacora "/>
  </cacheSource>
  <cacheFields count="19">
    <cacheField name="FECHA" numFmtId="0">
      <sharedItems containsNonDate="0" containsDate="1" containsString="0" containsBlank="1" minDate="2025-09-03T00:00:00" maxDate="2025-11-08T00:00:00"/>
    </cacheField>
    <cacheField name="ÍNDICE" numFmtId="0">
      <sharedItems containsBlank="1" count="7">
        <s v="Step 200"/>
        <s v="Boom 900"/>
        <s v="Step 100"/>
        <s v="Crash 300"/>
        <s v="Jump 25"/>
        <s v="Oro "/>
        <m/>
      </sharedItems>
    </cacheField>
    <cacheField name="LOTAJE" numFmtId="0">
      <sharedItems containsString="0" containsBlank="1" containsNumber="1" minValue="0.1" maxValue="10"/>
    </cacheField>
    <cacheField name="EMOCIÓN" numFmtId="0">
      <sharedItems containsBlank="1"/>
    </cacheField>
    <cacheField name="TIPO" numFmtId="0">
      <sharedItems containsBlank="1"/>
    </cacheField>
    <cacheField name="P.E" numFmtId="0">
      <sharedItems containsString="0" containsBlank="1" containsNumber="1" minValue="3679" maxValue="18401"/>
    </cacheField>
    <cacheField name="SL" numFmtId="0">
      <sharedItems containsString="0" containsBlank="1" containsNumber="1" minValue="3675" maxValue="18409"/>
    </cacheField>
    <cacheField name="TP" numFmtId="0">
      <sharedItems containsString="0" containsBlank="1" containsNumber="1" minValue="3800" maxValue="18350"/>
    </cacheField>
    <cacheField name="ANALISIS" numFmtId="0">
      <sharedItems containsBlank="1"/>
    </cacheField>
    <cacheField name="ESTADO" numFmtId="0">
      <sharedItems containsBlank="1"/>
    </cacheField>
    <cacheField name="RESULTADO" numFmtId="0">
      <sharedItems containsString="0" containsBlank="1" containsNumber="1" minValue="-175" maxValue="2450"/>
    </cacheField>
    <cacheField name="PORCENTAJE" numFmtId="165">
      <sharedItems containsString="0" containsBlank="1" containsNumber="1" minValue="-0.17499999999999999" maxValue="2.4500000000000002"/>
    </cacheField>
    <cacheField name="Capital" numFmtId="1">
      <sharedItems containsString="0" containsBlank="1" containsNumber="1" minValue="1145" maxValue="8051.3"/>
    </cacheField>
    <cacheField name="BACKTESTING" numFmtId="0">
      <sharedItems containsNonDate="0" containsString="0" containsBlank="1"/>
    </cacheField>
    <cacheField name="SEMANA" numFmtId="0">
      <sharedItems containsString="0" containsBlank="1" containsNumber="1" containsInteger="1" minValue="36" maxValue="45"/>
    </cacheField>
    <cacheField name="MES" numFmtId="0">
      <sharedItems containsBlank="1"/>
    </cacheField>
    <cacheField name="H. INICIO" numFmtId="166">
      <sharedItems containsNonDate="0" containsDate="1" containsString="0" containsBlank="1" minDate="1899-12-30T04:30:00" maxDate="1899-12-30T10:25:00"/>
    </cacheField>
    <cacheField name="H. FIN" numFmtId="166">
      <sharedItems containsNonDate="0" containsDate="1" containsString="0" containsBlank="1" minDate="1899-12-30T06:16:00" maxDate="1899-12-30T10:58:00"/>
    </cacheField>
    <cacheField name="MINUTOS" numFmtId="0">
      <sharedItems containsSemiMixedTypes="0" containsString="0" containsNumber="1" minValue="0" maxValue="31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lliam" refreshedDate="45968.59384872685" createdVersion="8" refreshedVersion="8" minRefreshableVersion="3" recordCount="100" xr:uid="{B21976D1-B177-41E3-8C53-C73E14702DF1}">
  <cacheSource type="worksheet">
    <worksheetSource ref="C6:R106" sheet="Bitacora "/>
  </cacheSource>
  <cacheFields count="18">
    <cacheField name="FECHA" numFmtId="0">
      <sharedItems containsNonDate="0" containsDate="1" containsString="0" containsBlank="1" minDate="2025-09-03T00:00:00" maxDate="2025-11-08T00:00:00" count="15">
        <d v="2025-09-03T00:00:00"/>
        <d v="2025-09-05T00:00:00"/>
        <d v="2025-09-16T00:00:00"/>
        <d v="2025-09-22T00:00:00"/>
        <d v="2025-09-24T00:00:00"/>
        <d v="2025-09-26T00:00:00"/>
        <d v="2025-10-01T00:00:00"/>
        <d v="2025-10-02T00:00:00"/>
        <d v="2025-10-03T00:00:00"/>
        <d v="2025-10-04T00:00:00"/>
        <d v="2025-10-05T00:00:00"/>
        <d v="2025-10-06T00:00:00"/>
        <d v="2025-10-07T00:00:00"/>
        <d v="2025-11-07T00:00:00"/>
        <m/>
      </sharedItems>
      <fieldGroup par="17"/>
    </cacheField>
    <cacheField name="ÍNDICE" numFmtId="0">
      <sharedItems containsBlank="1" count="7">
        <s v="Step 200"/>
        <s v="Boom 900"/>
        <s v="Step 100"/>
        <s v="Crash 300"/>
        <s v="Jump 25"/>
        <s v="Oro "/>
        <m/>
      </sharedItems>
    </cacheField>
    <cacheField name="LOTAJE" numFmtId="0">
      <sharedItems containsString="0" containsBlank="1" containsNumber="1" minValue="0.1" maxValue="10"/>
    </cacheField>
    <cacheField name="EMOCIÓN" numFmtId="0">
      <sharedItems containsBlank="1"/>
    </cacheField>
    <cacheField name="TIPO" numFmtId="0">
      <sharedItems containsBlank="1"/>
    </cacheField>
    <cacheField name="P.E" numFmtId="0">
      <sharedItems containsString="0" containsBlank="1" containsNumber="1" minValue="3679" maxValue="18401"/>
    </cacheField>
    <cacheField name="SL" numFmtId="0">
      <sharedItems containsString="0" containsBlank="1" containsNumber="1" minValue="3675" maxValue="18409"/>
    </cacheField>
    <cacheField name="TP" numFmtId="0">
      <sharedItems containsString="0" containsBlank="1" containsNumber="1" minValue="3800" maxValue="18350"/>
    </cacheField>
    <cacheField name="ANALISIS" numFmtId="0">
      <sharedItems containsBlank="1"/>
    </cacheField>
    <cacheField name="ESTADO" numFmtId="0">
      <sharedItems containsBlank="1" count="3">
        <s v="Ganada"/>
        <s v="Perdida"/>
        <m/>
      </sharedItems>
    </cacheField>
    <cacheField name="RESULTADO" numFmtId="0">
      <sharedItems containsString="0" containsBlank="1" containsNumber="1" minValue="-175" maxValue="2450"/>
    </cacheField>
    <cacheField name="PORCENTAJE" numFmtId="165">
      <sharedItems containsString="0" containsBlank="1" containsNumber="1" minValue="-0.17499999999999999" maxValue="2.4500000000000002"/>
    </cacheField>
    <cacheField name="Capital" numFmtId="1">
      <sharedItems containsString="0" containsBlank="1" containsNumber="1" minValue="1145" maxValue="8051.3"/>
    </cacheField>
    <cacheField name="BACKTESTING" numFmtId="0">
      <sharedItems containsNonDate="0" containsString="0" containsBlank="1"/>
    </cacheField>
    <cacheField name="SEMANA" numFmtId="0">
      <sharedItems containsString="0" containsBlank="1" containsNumber="1" containsInteger="1" minValue="36" maxValue="45" count="7">
        <n v="36"/>
        <n v="38"/>
        <n v="39"/>
        <n v="40"/>
        <n v="41"/>
        <n v="45"/>
        <m/>
      </sharedItems>
    </cacheField>
    <cacheField name="MES" numFmtId="0">
      <sharedItems containsBlank="1" count="5">
        <s v="Septiembre"/>
        <s v="Octubre"/>
        <s v="Noviembre"/>
        <m/>
        <s v="Enero" u="1"/>
      </sharedItems>
    </cacheField>
    <cacheField name="Días (FECHA)" numFmtId="0" databaseField="0">
      <fieldGroup base="0">
        <rangePr groupBy="days" startDate="2025-09-03T00:00:00" endDate="2025-11-08T00:00:00"/>
        <groupItems count="368">
          <s v="&lt;03/09/2025"/>
          <s v="01-ene"/>
          <s v="02-ene"/>
          <s v="03-ene"/>
          <s v="04-ene"/>
          <s v="05-ene"/>
          <s v="06-ene"/>
          <s v="07-ene"/>
          <s v="08-ene"/>
          <s v="09-ene"/>
          <s v="10-ene"/>
          <s v="11-ene"/>
          <s v="12-ene"/>
          <s v="13-ene"/>
          <s v="14-ene"/>
          <s v="15-ene"/>
          <s v="16-ene"/>
          <s v="17-ene"/>
          <s v="18-ene"/>
          <s v="19-ene"/>
          <s v="20-ene"/>
          <s v="21-ene"/>
          <s v="22-ene"/>
          <s v="23-ene"/>
          <s v="24-ene"/>
          <s v="25-ene"/>
          <s v="26-ene"/>
          <s v="27-ene"/>
          <s v="28-ene"/>
          <s v="29-ene"/>
          <s v="30-ene"/>
          <s v="31-ene"/>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08/11/2025"/>
        </groupItems>
      </fieldGroup>
    </cacheField>
    <cacheField name="Meses (FECHA)" numFmtId="0" databaseField="0">
      <fieldGroup base="0">
        <rangePr groupBy="months" startDate="2025-09-03T00:00:00" endDate="2025-11-08T00:00:00"/>
        <groupItems count="14">
          <s v="&lt;03/09/2025"/>
          <s v="ene"/>
          <s v="feb"/>
          <s v="mar"/>
          <s v="abr"/>
          <s v="may"/>
          <s v="jun"/>
          <s v="jul"/>
          <s v="ago"/>
          <s v="sept"/>
          <s v="oct"/>
          <s v="nov"/>
          <s v="dic"/>
          <s v="&gt;08/11/2025"/>
        </groupItems>
      </fieldGroup>
    </cacheField>
  </cacheFields>
  <extLst>
    <ext xmlns:x14="http://schemas.microsoft.com/office/spreadsheetml/2009/9/main" uri="{725AE2AE-9491-48be-B2B4-4EB974FC3084}">
      <x14:pivotCacheDefinition pivotCacheId="59344516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lliam" refreshedDate="45968.593850115743" createdVersion="8" refreshedVersion="8" minRefreshableVersion="3" recordCount="100" xr:uid="{A80690E1-48FD-4B3B-B04C-F6932A6029C0}">
  <cacheSource type="worksheet">
    <worksheetSource ref="D6:F106" sheet="Bitacora "/>
  </cacheSource>
  <cacheFields count="3">
    <cacheField name="ÍNDICE" numFmtId="0">
      <sharedItems containsBlank="1" count="7">
        <s v="Step 200"/>
        <s v="Boom 900"/>
        <s v="Step 100"/>
        <s v="Crash 300"/>
        <s v="Jump 25"/>
        <s v="Oro "/>
        <m/>
      </sharedItems>
    </cacheField>
    <cacheField name="LOTAJE" numFmtId="0">
      <sharedItems containsString="0" containsBlank="1" containsNumber="1" minValue="0.1" maxValue="10"/>
    </cacheField>
    <cacheField name="EMOCIÓN" numFmtId="0">
      <sharedItems containsBlank="1" count="10">
        <s v="Confianza"/>
        <s v="Venganza"/>
        <s v="Duda"/>
        <s v="Esperanza"/>
        <s v="Ansiedad"/>
        <s v="Resilencia"/>
        <s v="FOMO"/>
        <s v="Codicia"/>
        <m/>
        <s v="Enojo"/>
      </sharedItems>
    </cacheField>
  </cacheFields>
  <extLst>
    <ext xmlns:x14="http://schemas.microsoft.com/office/spreadsheetml/2009/9/main" uri="{725AE2AE-9491-48be-B2B4-4EB974FC3084}">
      <x14:pivotCacheDefinition pivotCacheId="161841767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lliam" refreshedDate="45968.593850347221" createdVersion="8" refreshedVersion="8" minRefreshableVersion="3" recordCount="14" xr:uid="{3E56B6C6-9BDD-446F-BBB9-782711B8510D}">
  <cacheSource type="worksheet">
    <worksheetSource ref="F6:F20" sheet="Bitacora "/>
  </cacheSource>
  <cacheFields count="1">
    <cacheField name="EMOCIÓN" numFmtId="0">
      <sharedItems containsBlank="1" count="10">
        <s v="Confianza"/>
        <s v="Venganza"/>
        <s v="Duda"/>
        <s v="Esperanza"/>
        <s v="Ansiedad"/>
        <s v="Resilencia"/>
        <s v="FOMO"/>
        <s v="Codicia"/>
        <m/>
        <s v="Enojo"/>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d v="2025-09-03T00:00:00"/>
    <x v="0"/>
    <n v="5"/>
    <s v="Confianza"/>
    <s v="Buy"/>
    <n v="10713.5"/>
    <n v="10711"/>
    <n v="10716.5"/>
    <s v="Propio"/>
    <s v="Ganada"/>
    <n v="145"/>
    <n v="0.14499999999999999"/>
    <n v="1145"/>
    <m/>
    <n v="36"/>
    <s v="Septiembre"/>
    <d v="1899-12-30T10:00:00"/>
    <d v="1899-12-30T10:30:00"/>
    <n v="29.999999999999972"/>
  </r>
  <r>
    <d v="2025-09-05T00:00:00"/>
    <x v="0"/>
    <n v="5"/>
    <s v="Venganza"/>
    <s v="Buy"/>
    <n v="10594.7"/>
    <n v="10591.7"/>
    <n v="10598.3"/>
    <s v="Propio"/>
    <s v="Ganada"/>
    <n v="175"/>
    <n v="0.17499999999999999"/>
    <n v="1320"/>
    <m/>
    <n v="36"/>
    <s v="Septiembre"/>
    <d v="1899-12-30T06:30:00"/>
    <d v="1899-12-30T07:25:00"/>
    <n v="55.000000000000043"/>
  </r>
  <r>
    <d v="2025-09-16T00:00:00"/>
    <x v="0"/>
    <n v="5"/>
    <s v="Confianza"/>
    <s v="Buy"/>
    <n v="10656.5"/>
    <n v="10652"/>
    <n v="10673.3"/>
    <s v="Propio"/>
    <s v="Ganada"/>
    <n v="835"/>
    <n v="0.83499999999999996"/>
    <n v="2155"/>
    <m/>
    <n v="38"/>
    <s v="Septiembre"/>
    <d v="1899-12-30T07:20:00"/>
    <d v="1899-12-30T09:45:00"/>
    <n v="144.99999999999997"/>
  </r>
  <r>
    <d v="2025-09-22T00:00:00"/>
    <x v="1"/>
    <n v="8"/>
    <s v="Duda"/>
    <s v="Buy"/>
    <n v="9709.4130000000005"/>
    <n v="9703.2060000000001"/>
    <n v="9711"/>
    <s v="Señal"/>
    <s v="Perdida"/>
    <n v="-57.7"/>
    <n v="-5.7700000000000001E-2"/>
    <n v="2097.3000000000002"/>
    <m/>
    <n v="39"/>
    <s v="Septiembre"/>
    <d v="1899-12-30T08:10:00"/>
    <d v="1899-12-30T09:58:00"/>
    <n v="108.00000000000001"/>
  </r>
  <r>
    <d v="2025-09-22T00:00:00"/>
    <x v="0"/>
    <n v="5"/>
    <s v="Esperanza"/>
    <s v="Buy"/>
    <n v="10666.5"/>
    <n v="10661"/>
    <n v="10683.5"/>
    <s v="Propio"/>
    <s v="Ganada"/>
    <n v="855"/>
    <n v="0.85499999999999998"/>
    <n v="2952.3"/>
    <m/>
    <n v="39"/>
    <s v="Septiembre"/>
    <d v="1899-12-30T05:35:00"/>
    <d v="1899-12-30T08:12:00"/>
    <n v="157"/>
  </r>
  <r>
    <d v="2025-09-24T00:00:00"/>
    <x v="0"/>
    <n v="5"/>
    <s v="Duda"/>
    <s v="Buy"/>
    <n v="10769.7"/>
    <n v="10766.3"/>
    <n v="10785.7"/>
    <s v="Propio"/>
    <s v="Perdida"/>
    <n v="-175"/>
    <n v="-0.17499999999999999"/>
    <n v="2777.3"/>
    <m/>
    <n v="39"/>
    <s v="Septiembre"/>
    <d v="1899-12-30T04:30:00"/>
    <d v="1899-12-30T09:40:00"/>
    <n v="310"/>
  </r>
  <r>
    <d v="2025-09-26T00:00:00"/>
    <x v="0"/>
    <n v="5"/>
    <s v="Confianza"/>
    <s v="Buy"/>
    <n v="10678.5"/>
    <n v="10672.5"/>
    <n v="10685.3"/>
    <s v="Propio"/>
    <s v="Ganada"/>
    <n v="835"/>
    <n v="0.83499999999999996"/>
    <n v="3612.3"/>
    <m/>
    <n v="39"/>
    <s v="Septiembre"/>
    <d v="1899-12-30T10:17:00"/>
    <d v="1899-12-30T10:58:00"/>
    <n v="41.000000000000014"/>
  </r>
  <r>
    <d v="2025-10-01T00:00:00"/>
    <x v="0"/>
    <n v="5"/>
    <s v="Ansiedad"/>
    <s v="Buy"/>
    <n v="10692.9"/>
    <n v="10689.9"/>
    <n v="10699.3"/>
    <s v="Propio"/>
    <s v="Ganada"/>
    <n v="299"/>
    <n v="0.29899999999999999"/>
    <n v="3911.3"/>
    <m/>
    <n v="40"/>
    <s v="Octubre"/>
    <d v="1899-12-30T05:46:00"/>
    <d v="1899-12-30T06:18:00"/>
    <n v="32.000000000000007"/>
  </r>
  <r>
    <d v="2025-10-02T00:00:00"/>
    <x v="2"/>
    <n v="8"/>
    <s v="Resilencia"/>
    <s v="Sell"/>
    <n v="8121"/>
    <n v="8125"/>
    <n v="8091"/>
    <s v="Propio"/>
    <s v="Ganada"/>
    <n v="2450"/>
    <n v="2.4500000000000002"/>
    <n v="6361.3"/>
    <m/>
    <n v="40"/>
    <s v="Octubre"/>
    <d v="1899-12-30T06:32:00"/>
    <d v="1899-12-30T07:10:00"/>
    <n v="38.000000000000028"/>
  </r>
  <r>
    <d v="2025-10-03T00:00:00"/>
    <x v="3"/>
    <n v="10"/>
    <s v="FOMO"/>
    <s v="Sell"/>
    <n v="18401"/>
    <n v="18409"/>
    <n v="18350"/>
    <s v="Señal"/>
    <s v="Ganada"/>
    <n v="510"/>
    <n v="0.51"/>
    <n v="6871.3"/>
    <m/>
    <n v="40"/>
    <s v="Octubre"/>
    <d v="1899-12-30T07:35:00"/>
    <d v="1899-12-30T08:35:00"/>
    <n v="60.000000000000028"/>
  </r>
  <r>
    <d v="2025-10-04T00:00:00"/>
    <x v="3"/>
    <n v="10"/>
    <s v="Codicia"/>
    <s v="Sell"/>
    <m/>
    <m/>
    <m/>
    <s v="Operativa"/>
    <s v="Ganada"/>
    <n v="520"/>
    <n v="0.52"/>
    <n v="7391.3"/>
    <m/>
    <n v="40"/>
    <s v="Octubre"/>
    <d v="1899-12-30T10:25:00"/>
    <d v="1899-12-30T10:38:00"/>
    <n v="12.999999999999954"/>
  </r>
  <r>
    <d v="2025-10-05T00:00:00"/>
    <x v="3"/>
    <n v="10"/>
    <s v="Venganza"/>
    <s v="Buy"/>
    <m/>
    <m/>
    <m/>
    <s v="Propio"/>
    <s v="Ganada"/>
    <n v="400"/>
    <n v="0.4"/>
    <n v="7791.3"/>
    <m/>
    <n v="41"/>
    <s v="Octubre"/>
    <d v="1899-12-30T09:25:00"/>
    <d v="1899-12-30T10:45:00"/>
    <n v="80.000000000000028"/>
  </r>
  <r>
    <d v="2025-10-06T00:00:00"/>
    <x v="4"/>
    <m/>
    <m/>
    <m/>
    <m/>
    <m/>
    <m/>
    <m/>
    <m/>
    <m/>
    <n v="0"/>
    <n v="7791.3"/>
    <m/>
    <n v="41"/>
    <s v="Octubre"/>
    <d v="1899-12-30T07:34:00"/>
    <d v="1899-12-30T08:17:00"/>
    <n v="43.000000000000007"/>
  </r>
  <r>
    <d v="2025-10-07T00:00:00"/>
    <x v="5"/>
    <n v="0.1"/>
    <s v="Enojo"/>
    <s v="Sell"/>
    <n v="3844"/>
    <n v="3846.5"/>
    <n v="3854"/>
    <s v="Propio"/>
    <s v="Ganada"/>
    <n v="100"/>
    <n v="0.1"/>
    <n v="7891.3"/>
    <m/>
    <n v="41"/>
    <s v="Octubre"/>
    <d v="1899-12-30T05:46:00"/>
    <d v="1899-12-30T06:16:00"/>
    <n v="30.000000000000014"/>
  </r>
  <r>
    <d v="2025-11-07T00:00:00"/>
    <x v="3"/>
    <n v="5"/>
    <s v="Confianza"/>
    <s v="Buy"/>
    <n v="3679"/>
    <n v="3675"/>
    <n v="3800"/>
    <s v="Propio"/>
    <s v="Ganada"/>
    <n v="160"/>
    <n v="0.16"/>
    <n v="8051.3"/>
    <m/>
    <n v="45"/>
    <s v="Noviembre"/>
    <d v="1899-12-30T06:30:00"/>
    <d v="1899-12-30T07:15:00"/>
    <n v="45"/>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r>
    <m/>
    <x v="6"/>
    <m/>
    <m/>
    <m/>
    <m/>
    <m/>
    <m/>
    <m/>
    <m/>
    <m/>
    <m/>
    <m/>
    <m/>
    <m/>
    <m/>
    <m/>
    <m/>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n v="5"/>
    <s v="Confianza"/>
    <s v="Buy"/>
    <n v="10713.5"/>
    <n v="10711"/>
    <n v="10716.5"/>
    <s v="Propio"/>
    <x v="0"/>
    <n v="145"/>
    <n v="0.14499999999999999"/>
    <n v="1145"/>
    <m/>
    <x v="0"/>
    <x v="0"/>
  </r>
  <r>
    <x v="1"/>
    <x v="0"/>
    <n v="5"/>
    <s v="Venganza"/>
    <s v="Buy"/>
    <n v="10594.7"/>
    <n v="10591.7"/>
    <n v="10598.3"/>
    <s v="Propio"/>
    <x v="0"/>
    <n v="175"/>
    <n v="0.17499999999999999"/>
    <n v="1320"/>
    <m/>
    <x v="0"/>
    <x v="0"/>
  </r>
  <r>
    <x v="2"/>
    <x v="0"/>
    <n v="5"/>
    <s v="Confianza"/>
    <s v="Buy"/>
    <n v="10656.5"/>
    <n v="10652"/>
    <n v="10673.3"/>
    <s v="Propio"/>
    <x v="0"/>
    <n v="835"/>
    <n v="0.83499999999999996"/>
    <n v="2155"/>
    <m/>
    <x v="1"/>
    <x v="0"/>
  </r>
  <r>
    <x v="3"/>
    <x v="1"/>
    <n v="8"/>
    <s v="Duda"/>
    <s v="Buy"/>
    <n v="9709.4130000000005"/>
    <n v="9703.2060000000001"/>
    <n v="9711"/>
    <s v="Señal"/>
    <x v="1"/>
    <n v="-57.7"/>
    <n v="-5.7700000000000001E-2"/>
    <n v="2097.3000000000002"/>
    <m/>
    <x v="2"/>
    <x v="0"/>
  </r>
  <r>
    <x v="3"/>
    <x v="0"/>
    <n v="5"/>
    <s v="Esperanza"/>
    <s v="Buy"/>
    <n v="10666.5"/>
    <n v="10661"/>
    <n v="10683.5"/>
    <s v="Propio"/>
    <x v="0"/>
    <n v="855"/>
    <n v="0.85499999999999998"/>
    <n v="2952.3"/>
    <m/>
    <x v="2"/>
    <x v="0"/>
  </r>
  <r>
    <x v="4"/>
    <x v="0"/>
    <n v="5"/>
    <s v="Duda"/>
    <s v="Buy"/>
    <n v="10769.7"/>
    <n v="10766.3"/>
    <n v="10785.7"/>
    <s v="Propio"/>
    <x v="1"/>
    <n v="-175"/>
    <n v="-0.17499999999999999"/>
    <n v="2777.3"/>
    <m/>
    <x v="2"/>
    <x v="0"/>
  </r>
  <r>
    <x v="5"/>
    <x v="0"/>
    <n v="5"/>
    <s v="Confianza"/>
    <s v="Buy"/>
    <n v="10678.5"/>
    <n v="10672.5"/>
    <n v="10685.3"/>
    <s v="Propio"/>
    <x v="0"/>
    <n v="835"/>
    <n v="0.83499999999999996"/>
    <n v="3612.3"/>
    <m/>
    <x v="2"/>
    <x v="0"/>
  </r>
  <r>
    <x v="6"/>
    <x v="0"/>
    <n v="5"/>
    <s v="Ansiedad"/>
    <s v="Buy"/>
    <n v="10692.9"/>
    <n v="10689.9"/>
    <n v="10699.3"/>
    <s v="Propio"/>
    <x v="0"/>
    <n v="299"/>
    <n v="0.29899999999999999"/>
    <n v="3911.3"/>
    <m/>
    <x v="3"/>
    <x v="1"/>
  </r>
  <r>
    <x v="7"/>
    <x v="2"/>
    <n v="8"/>
    <s v="Resilencia"/>
    <s v="Sell"/>
    <n v="8121"/>
    <n v="8125"/>
    <n v="8091"/>
    <s v="Propio"/>
    <x v="0"/>
    <n v="2450"/>
    <n v="2.4500000000000002"/>
    <n v="6361.3"/>
    <m/>
    <x v="3"/>
    <x v="1"/>
  </r>
  <r>
    <x v="8"/>
    <x v="3"/>
    <n v="10"/>
    <s v="FOMO"/>
    <s v="Sell"/>
    <n v="18401"/>
    <n v="18409"/>
    <n v="18350"/>
    <s v="Señal"/>
    <x v="0"/>
    <n v="510"/>
    <n v="0.51"/>
    <n v="6871.3"/>
    <m/>
    <x v="3"/>
    <x v="1"/>
  </r>
  <r>
    <x v="9"/>
    <x v="3"/>
    <n v="10"/>
    <s v="Codicia"/>
    <s v="Sell"/>
    <m/>
    <m/>
    <m/>
    <s v="Operativa"/>
    <x v="0"/>
    <n v="520"/>
    <n v="0.52"/>
    <n v="7391.3"/>
    <m/>
    <x v="3"/>
    <x v="1"/>
  </r>
  <r>
    <x v="10"/>
    <x v="3"/>
    <n v="10"/>
    <s v="Venganza"/>
    <s v="Buy"/>
    <m/>
    <m/>
    <m/>
    <s v="Propio"/>
    <x v="0"/>
    <n v="400"/>
    <n v="0.4"/>
    <n v="7791.3"/>
    <m/>
    <x v="4"/>
    <x v="1"/>
  </r>
  <r>
    <x v="11"/>
    <x v="4"/>
    <m/>
    <m/>
    <m/>
    <m/>
    <m/>
    <m/>
    <m/>
    <x v="2"/>
    <m/>
    <n v="0"/>
    <n v="7791.3"/>
    <m/>
    <x v="4"/>
    <x v="1"/>
  </r>
  <r>
    <x v="12"/>
    <x v="5"/>
    <n v="0.1"/>
    <s v="Enojo"/>
    <s v="Sell"/>
    <n v="3844"/>
    <n v="3846.5"/>
    <n v="3854"/>
    <s v="Propio"/>
    <x v="0"/>
    <n v="100"/>
    <n v="0.1"/>
    <n v="7891.3"/>
    <m/>
    <x v="4"/>
    <x v="1"/>
  </r>
  <r>
    <x v="13"/>
    <x v="3"/>
    <n v="5"/>
    <s v="Confianza"/>
    <s v="Buy"/>
    <n v="3679"/>
    <n v="3675"/>
    <n v="3800"/>
    <s v="Propio"/>
    <x v="0"/>
    <n v="160"/>
    <n v="0.16"/>
    <n v="8051.3"/>
    <m/>
    <x v="5"/>
    <x v="2"/>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r>
    <x v="14"/>
    <x v="6"/>
    <m/>
    <m/>
    <m/>
    <m/>
    <m/>
    <m/>
    <m/>
    <x v="2"/>
    <m/>
    <m/>
    <m/>
    <m/>
    <x v="6"/>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n v="5"/>
    <x v="0"/>
  </r>
  <r>
    <x v="0"/>
    <n v="5"/>
    <x v="1"/>
  </r>
  <r>
    <x v="0"/>
    <n v="5"/>
    <x v="0"/>
  </r>
  <r>
    <x v="1"/>
    <n v="8"/>
    <x v="2"/>
  </r>
  <r>
    <x v="0"/>
    <n v="5"/>
    <x v="3"/>
  </r>
  <r>
    <x v="0"/>
    <n v="5"/>
    <x v="2"/>
  </r>
  <r>
    <x v="0"/>
    <n v="5"/>
    <x v="0"/>
  </r>
  <r>
    <x v="0"/>
    <n v="5"/>
    <x v="4"/>
  </r>
  <r>
    <x v="2"/>
    <n v="8"/>
    <x v="5"/>
  </r>
  <r>
    <x v="3"/>
    <n v="10"/>
    <x v="6"/>
  </r>
  <r>
    <x v="3"/>
    <n v="10"/>
    <x v="7"/>
  </r>
  <r>
    <x v="3"/>
    <n v="10"/>
    <x v="1"/>
  </r>
  <r>
    <x v="4"/>
    <m/>
    <x v="8"/>
  </r>
  <r>
    <x v="5"/>
    <n v="0.1"/>
    <x v="9"/>
  </r>
  <r>
    <x v="3"/>
    <n v="5"/>
    <x v="0"/>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r>
    <x v="6"/>
    <m/>
    <x v="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r>
  <r>
    <x v="1"/>
  </r>
  <r>
    <x v="0"/>
  </r>
  <r>
    <x v="2"/>
  </r>
  <r>
    <x v="3"/>
  </r>
  <r>
    <x v="2"/>
  </r>
  <r>
    <x v="0"/>
  </r>
  <r>
    <x v="4"/>
  </r>
  <r>
    <x v="5"/>
  </r>
  <r>
    <x v="6"/>
  </r>
  <r>
    <x v="7"/>
  </r>
  <r>
    <x v="1"/>
  </r>
  <r>
    <x v="8"/>
  </r>
  <r>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BAA05E-41AD-4E5B-A6B0-7A6366812810}" name="dinamica4"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K52:N59" firstHeaderRow="1" firstDataRow="2" firstDataCol="1"/>
  <pivotFields count="18">
    <pivotField showAll="0">
      <items count="16">
        <item x="0"/>
        <item x="1"/>
        <item x="2"/>
        <item x="3"/>
        <item x="4"/>
        <item x="5"/>
        <item x="6"/>
        <item x="7"/>
        <item x="8"/>
        <item x="9"/>
        <item x="10"/>
        <item x="11"/>
        <item x="12"/>
        <item x="14"/>
        <item x="13"/>
        <item t="default"/>
      </items>
    </pivotField>
    <pivotField axis="axisRow" showAll="0">
      <items count="8">
        <item x="1"/>
        <item x="3"/>
        <item x="4"/>
        <item x="5"/>
        <item x="2"/>
        <item x="0"/>
        <item x="6"/>
        <item t="default"/>
      </items>
    </pivotField>
    <pivotField showAll="0"/>
    <pivotField showAll="0"/>
    <pivotField showAll="0"/>
    <pivotField showAll="0"/>
    <pivotField showAll="0"/>
    <pivotField showAll="0"/>
    <pivotField showAll="0"/>
    <pivotField axis="axisCol" dataField="1" showAll="0">
      <items count="4">
        <item x="0"/>
        <item x="1"/>
        <item h="1" x="2"/>
        <item t="default"/>
      </items>
    </pivotField>
    <pivotField showAll="0"/>
    <pivotField showAll="0"/>
    <pivotField showAll="0"/>
    <pivotField showAll="0"/>
    <pivotField showAll="0">
      <items count="8">
        <item x="0"/>
        <item x="1"/>
        <item x="2"/>
        <item x="3"/>
        <item x="4"/>
        <item x="5"/>
        <item x="6"/>
        <item t="default"/>
      </items>
    </pivotField>
    <pivotField showAll="0">
      <items count="6">
        <item m="1" x="4"/>
        <item x="0"/>
        <item x="1"/>
        <item x="2"/>
        <item x="3"/>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6">
    <i>
      <x/>
    </i>
    <i>
      <x v="1"/>
    </i>
    <i>
      <x v="3"/>
    </i>
    <i>
      <x v="4"/>
    </i>
    <i>
      <x v="5"/>
    </i>
    <i t="grand">
      <x/>
    </i>
  </rowItems>
  <colFields count="1">
    <field x="9"/>
  </colFields>
  <colItems count="3">
    <i>
      <x/>
    </i>
    <i>
      <x v="1"/>
    </i>
    <i t="grand">
      <x/>
    </i>
  </colItems>
  <dataFields count="1">
    <dataField name="Cuenta de ESTADO" fld="9" subtotal="count" baseField="0" baseItem="0"/>
  </dataFields>
  <chartFormats count="3">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29648F-4964-4581-A6AF-18F7653464D2}" name="dinamica 9"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D100:E107" firstHeaderRow="1" firstDataRow="1" firstDataCol="1"/>
  <pivotFields count="19">
    <pivotField showAll="0"/>
    <pivotField axis="axisRow" showAll="0">
      <items count="8">
        <item x="1"/>
        <item x="3"/>
        <item x="4"/>
        <item x="5"/>
        <item x="2"/>
        <item x="0"/>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7">
    <i>
      <x/>
    </i>
    <i>
      <x v="1"/>
    </i>
    <i>
      <x v="2"/>
    </i>
    <i>
      <x v="3"/>
    </i>
    <i>
      <x v="4"/>
    </i>
    <i>
      <x v="5"/>
    </i>
    <i t="grand">
      <x/>
    </i>
  </rowItems>
  <colItems count="1">
    <i/>
  </colItems>
  <dataFields count="1">
    <dataField name="Suma de MINUTOS" fld="18"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0541AC-66BF-4C80-A39E-80C26ED05D99}" name="dinamica6"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Y52:Z59" firstHeaderRow="1" firstDataRow="1" firstDataCol="1"/>
  <pivotFields count="18">
    <pivotField showAll="0">
      <items count="16">
        <item x="0"/>
        <item x="1"/>
        <item x="2"/>
        <item x="3"/>
        <item x="4"/>
        <item x="5"/>
        <item x="6"/>
        <item x="7"/>
        <item x="8"/>
        <item x="9"/>
        <item x="10"/>
        <item x="11"/>
        <item x="12"/>
        <item x="14"/>
        <item x="13"/>
        <item t="default"/>
      </items>
    </pivotField>
    <pivotField axis="axisRow" showAll="0">
      <items count="8">
        <item x="1"/>
        <item x="3"/>
        <item x="4"/>
        <item x="5"/>
        <item x="2"/>
        <item x="0"/>
        <item h="1" x="6"/>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6">
        <item m="1" x="4"/>
        <item x="0"/>
        <item x="1"/>
        <item x="2"/>
        <item x="3"/>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7">
    <i>
      <x/>
    </i>
    <i>
      <x v="1"/>
    </i>
    <i>
      <x v="2"/>
    </i>
    <i>
      <x v="3"/>
    </i>
    <i>
      <x v="4"/>
    </i>
    <i>
      <x v="5"/>
    </i>
    <i t="grand">
      <x/>
    </i>
  </rowItems>
  <colItems count="1">
    <i/>
  </colItems>
  <dataFields count="1">
    <dataField name="Promedio de LOTAJE" fld="2" subtotal="average" baseField="1" baseItem="0"/>
  </dataFields>
  <formats count="1">
    <format dxfId="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58460C-10E1-405C-A40E-5FCCBC566F9E}" name="dinmica5"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R52:T59" firstHeaderRow="0" firstDataRow="1" firstDataCol="1"/>
  <pivotFields count="18">
    <pivotField showAll="0">
      <items count="16">
        <item x="0"/>
        <item x="1"/>
        <item x="2"/>
        <item x="3"/>
        <item x="4"/>
        <item x="5"/>
        <item x="6"/>
        <item x="7"/>
        <item x="8"/>
        <item x="9"/>
        <item x="10"/>
        <item x="11"/>
        <item x="12"/>
        <item x="14"/>
        <item x="13"/>
        <item t="default"/>
      </items>
    </pivotField>
    <pivotField axis="axisRow" showAll="0">
      <items count="8">
        <item x="1"/>
        <item x="3"/>
        <item x="4"/>
        <item x="5"/>
        <item x="2"/>
        <item x="0"/>
        <item h="1" x="6"/>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items count="8">
        <item x="0"/>
        <item x="1"/>
        <item x="2"/>
        <item x="3"/>
        <item x="4"/>
        <item x="5"/>
        <item x="6"/>
        <item t="default"/>
      </items>
    </pivotField>
    <pivotField showAll="0">
      <items count="6">
        <item m="1" x="4"/>
        <item x="0"/>
        <item x="1"/>
        <item x="2"/>
        <item x="3"/>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7">
    <i>
      <x/>
    </i>
    <i>
      <x v="1"/>
    </i>
    <i>
      <x v="2"/>
    </i>
    <i>
      <x v="3"/>
    </i>
    <i>
      <x v="4"/>
    </i>
    <i>
      <x v="5"/>
    </i>
    <i t="grand">
      <x/>
    </i>
  </rowItems>
  <colFields count="1">
    <field x="-2"/>
  </colFields>
  <colItems count="2">
    <i>
      <x/>
    </i>
    <i i="1">
      <x v="1"/>
    </i>
  </colItems>
  <dataFields count="2">
    <dataField name="Suma de RESULTADO" fld="10" baseField="0" baseItem="0"/>
    <dataField name="Máx. de Capital" fld="12" subtotal="max" baseField="1"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C1E7A9-0C36-4779-B2AB-62907E2C3868}" name="dinamica7"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D81:E91" firstHeaderRow="1" firstDataRow="1" firstDataCol="1"/>
  <pivotFields count="1">
    <pivotField axis="axisRow" dataField="1" showAll="0">
      <items count="11">
        <item x="4"/>
        <item x="7"/>
        <item x="0"/>
        <item x="2"/>
        <item x="9"/>
        <item x="3"/>
        <item x="6"/>
        <item x="5"/>
        <item x="1"/>
        <item h="1" x="8"/>
        <item t="default"/>
      </items>
    </pivotField>
  </pivotFields>
  <rowFields count="1">
    <field x="0"/>
  </rowFields>
  <rowItems count="10">
    <i>
      <x/>
    </i>
    <i>
      <x v="1"/>
    </i>
    <i>
      <x v="2"/>
    </i>
    <i>
      <x v="3"/>
    </i>
    <i>
      <x v="4"/>
    </i>
    <i>
      <x v="5"/>
    </i>
    <i>
      <x v="6"/>
    </i>
    <i>
      <x v="7"/>
    </i>
    <i>
      <x v="8"/>
    </i>
    <i t="grand">
      <x/>
    </i>
  </rowItems>
  <colItems count="1">
    <i/>
  </colItems>
  <dataFields count="1">
    <dataField name="Cuenta de EMOCIÓN" fld="0" subtotal="count"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04A077-66A3-48CD-823C-8C2720BA6F8F}" name="dinamica 2"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
  <location ref="Q9:R24" firstHeaderRow="1" firstDataRow="1" firstDataCol="1"/>
  <pivotFields count="18">
    <pivotField axis="axisRow" showAll="0">
      <items count="16">
        <item x="0"/>
        <item x="1"/>
        <item x="2"/>
        <item x="3"/>
        <item x="4"/>
        <item x="5"/>
        <item x="6"/>
        <item x="7"/>
        <item x="8"/>
        <item x="9"/>
        <item x="10"/>
        <item x="11"/>
        <item x="12"/>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8">
        <item x="0"/>
        <item x="1"/>
        <item x="2"/>
        <item x="3"/>
        <item x="4"/>
        <item x="5"/>
        <item x="6"/>
        <item t="default"/>
      </items>
    </pivotField>
    <pivotField showAll="0">
      <items count="6">
        <item m="1" x="4"/>
        <item x="0"/>
        <item x="1"/>
        <item x="2"/>
        <item x="3"/>
        <item t="default"/>
      </items>
    </pivotField>
    <pivotField axis="axisRow" showAll="0" defaultSubtotal="0">
      <items count="368">
        <item h="1"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h="1"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2">
    <field x="16"/>
    <field x="0"/>
  </rowFields>
  <rowItems count="15">
    <i>
      <x v="247"/>
    </i>
    <i>
      <x v="249"/>
    </i>
    <i>
      <x v="260"/>
    </i>
    <i>
      <x v="266"/>
    </i>
    <i>
      <x v="268"/>
    </i>
    <i>
      <x v="270"/>
    </i>
    <i>
      <x v="275"/>
    </i>
    <i>
      <x v="276"/>
    </i>
    <i>
      <x v="277"/>
    </i>
    <i>
      <x v="278"/>
    </i>
    <i>
      <x v="279"/>
    </i>
    <i>
      <x v="280"/>
    </i>
    <i>
      <x v="281"/>
    </i>
    <i>
      <x v="312"/>
    </i>
    <i t="grand">
      <x/>
    </i>
  </rowItems>
  <colItems count="1">
    <i/>
  </colItems>
  <dataFields count="1">
    <dataField name="Máx. de Capital" fld="12" subtotal="max" baseField="16" baseItem="247"/>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A12904-D344-4ED7-A0F3-F3ED0D18F3CA}" name="dinamica8"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L81:M92" firstHeaderRow="1" firstDataRow="1" firstDataCol="1"/>
  <pivotFields count="3">
    <pivotField showAll="0">
      <items count="8">
        <item x="1"/>
        <item x="3"/>
        <item x="4"/>
        <item x="5"/>
        <item x="2"/>
        <item x="0"/>
        <item x="6"/>
        <item t="default"/>
      </items>
    </pivotField>
    <pivotField showAll="0"/>
    <pivotField axis="axisRow" dataField="1" showAll="0">
      <items count="11">
        <item x="4"/>
        <item x="7"/>
        <item x="0"/>
        <item x="2"/>
        <item x="9"/>
        <item x="3"/>
        <item x="6"/>
        <item x="5"/>
        <item x="1"/>
        <item x="8"/>
        <item t="default"/>
      </items>
    </pivotField>
  </pivotFields>
  <rowFields count="1">
    <field x="2"/>
  </rowFields>
  <rowItems count="11">
    <i>
      <x/>
    </i>
    <i>
      <x v="1"/>
    </i>
    <i>
      <x v="2"/>
    </i>
    <i>
      <x v="3"/>
    </i>
    <i>
      <x v="4"/>
    </i>
    <i>
      <x v="5"/>
    </i>
    <i>
      <x v="6"/>
    </i>
    <i>
      <x v="7"/>
    </i>
    <i>
      <x v="8"/>
    </i>
    <i>
      <x v="9"/>
    </i>
    <i t="grand">
      <x/>
    </i>
  </rowItems>
  <colItems count="1">
    <i/>
  </colItems>
  <dataFields count="1">
    <dataField name="Cuenta de EMOCIÓN" fld="2" subtotal="count" showDataAs="percentOfTotal" baseField="2" baseItem="0" numFmtId="1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0" format="8">
      <pivotArea type="data" outline="0" fieldPosition="0">
        <references count="2">
          <reference field="4294967294" count="1" selected="0">
            <x v="0"/>
          </reference>
          <reference field="2" count="1" selected="0">
            <x v="7"/>
          </reference>
        </references>
      </pivotArea>
    </chartFormat>
    <chartFormat chart="0" format="9">
      <pivotArea type="data" outline="0" fieldPosition="0">
        <references count="2">
          <reference field="4294967294" count="1" selected="0">
            <x v="0"/>
          </reference>
          <reference field="2" count="1" selected="0">
            <x v="8"/>
          </reference>
        </references>
      </pivotArea>
    </chartFormat>
    <chartFormat chart="0" format="10">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648E71-9234-4DE0-916B-2887D2600E97}" name="dinamica3"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location ref="D53:E60" firstHeaderRow="1" firstDataRow="1" firstDataCol="1"/>
  <pivotFields count="18">
    <pivotField showAll="0">
      <items count="16">
        <item x="0"/>
        <item x="1"/>
        <item x="2"/>
        <item x="3"/>
        <item x="4"/>
        <item x="5"/>
        <item x="6"/>
        <item x="7"/>
        <item x="8"/>
        <item x="9"/>
        <item x="10"/>
        <item x="11"/>
        <item x="12"/>
        <item x="14"/>
        <item x="13"/>
        <item t="default"/>
      </items>
    </pivotField>
    <pivotField axis="axisRow" dataField="1" showAll="0">
      <items count="8">
        <item x="1"/>
        <item x="3"/>
        <item x="4"/>
        <item x="5"/>
        <item x="2"/>
        <item x="0"/>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6">
        <item m="1" x="4"/>
        <item x="0"/>
        <item x="1"/>
        <item x="2"/>
        <item x="3"/>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7">
    <i>
      <x/>
    </i>
    <i>
      <x v="1"/>
    </i>
    <i>
      <x v="2"/>
    </i>
    <i>
      <x v="3"/>
    </i>
    <i>
      <x v="4"/>
    </i>
    <i>
      <x v="5"/>
    </i>
    <i t="grand">
      <x/>
    </i>
  </rowItems>
  <colItems count="1">
    <i/>
  </colItems>
  <dataFields count="1">
    <dataField name="Cuenta de ÍNDICE"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052688-E05C-4BB9-87BF-2CC06680FCFD}" name="TablaDinámica18"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location ref="H9:I24" firstHeaderRow="1" firstDataRow="1" firstDataCol="1"/>
  <pivotFields count="18">
    <pivotField axis="axisRow" dataField="1" showAll="0">
      <items count="16">
        <item x="0"/>
        <item x="1"/>
        <item x="2"/>
        <item x="3"/>
        <item x="4"/>
        <item x="5"/>
        <item x="6"/>
        <item x="7"/>
        <item x="8"/>
        <item x="9"/>
        <item x="10"/>
        <item x="11"/>
        <item x="12"/>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6">
        <item m="1" x="4"/>
        <item x="0"/>
        <item x="1"/>
        <item x="2"/>
        <item x="3"/>
        <item t="default"/>
      </items>
    </pivotField>
    <pivotField axis="axisRow" showAll="0">
      <items count="369">
        <item h="1"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h="1"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6"/>
    <field x="0"/>
  </rowFields>
  <rowItems count="15">
    <i>
      <x v="247"/>
    </i>
    <i>
      <x v="249"/>
    </i>
    <i>
      <x v="260"/>
    </i>
    <i>
      <x v="266"/>
    </i>
    <i>
      <x v="268"/>
    </i>
    <i>
      <x v="270"/>
    </i>
    <i>
      <x v="275"/>
    </i>
    <i>
      <x v="276"/>
    </i>
    <i>
      <x v="277"/>
    </i>
    <i>
      <x v="278"/>
    </i>
    <i>
      <x v="279"/>
    </i>
    <i>
      <x v="280"/>
    </i>
    <i>
      <x v="281"/>
    </i>
    <i>
      <x v="312"/>
    </i>
    <i t="grand">
      <x/>
    </i>
  </rowItems>
  <colItems count="1">
    <i/>
  </colItems>
  <dataFields count="1">
    <dataField name="Cuenta de FECHA"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MES" xr10:uid="{1987D055-147E-4A97-9885-9DCF47767ED7}" sourceName="MES">
  <pivotTables>
    <pivotTable tabId="3" name="TablaDinámica18"/>
    <pivotTable tabId="3" name="dinamica 2"/>
    <pivotTable tabId="3" name="dinamica3"/>
    <pivotTable tabId="3" name="dinamica4"/>
    <pivotTable tabId="3" name="dinamica6"/>
    <pivotTable tabId="3" name="dinmica5"/>
  </pivotTables>
  <data>
    <tabular pivotCacheId="593445167">
      <items count="5">
        <i x="0" s="1"/>
        <i x="1" s="1"/>
        <i x="2" s="1"/>
        <i x="4"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ÍNDICE" xr10:uid="{87D83A30-B723-4457-B892-E27534E27164}" sourceName="ÍNDICE">
  <pivotTables>
    <pivotTable tabId="3" name="dinamica8"/>
  </pivotTables>
  <data>
    <tabular pivotCacheId="1618417670">
      <items count="7">
        <i x="1" s="1"/>
        <i x="3" s="1"/>
        <i x="5" s="1"/>
        <i x="2" s="1"/>
        <i x="0" s="1"/>
        <i x="4" s="1" nd="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EMANA" xr10:uid="{D424D10E-355E-4C4F-8E7E-6511A49FC31B}" sourceName="SEMANA">
  <pivotTables>
    <pivotTable tabId="3" name="TablaDinámica18"/>
    <pivotTable tabId="3" name="dinamica 2"/>
    <pivotTable tabId="3" name="dinamica3"/>
    <pivotTable tabId="3" name="dinamica4"/>
    <pivotTable tabId="3" name="dinamica6"/>
    <pivotTable tabId="3" name="dinmica5"/>
  </pivotTables>
  <data>
    <tabular pivotCacheId="593445167">
      <items count="7">
        <i x="0" s="1"/>
        <i x="1" s="1"/>
        <i x="2" s="1"/>
        <i x="3" s="1"/>
        <i x="4" s="1"/>
        <i x="5"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S" xr10:uid="{757BB1C8-38B3-4E0F-916B-658A41ED3355}" cache="SegmentaciónDeDatos_MES" caption="MES" rowHeight="257175"/>
  <slicer name="ÍNDICE" xr10:uid="{C62407B1-0F5D-47CA-849A-DBDED30AD4F9}" cache="SegmentaciónDeDatos_ÍNDICE" caption="ÍNDICE" rowHeight="257175"/>
  <slicer name="SEMANA" xr10:uid="{BD35E809-E440-43F6-A9E2-D54D094EE2DC}" cache="SegmentaciónDeDatos_SEMANA" caption="SEMANA" rowHeight="257175"/>
</slicer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93144-6A2E-4E5D-9D83-4F2DE148DEFE}">
  <dimension ref="B4:U106"/>
  <sheetViews>
    <sheetView tabSelected="1" workbookViewId="0">
      <selection activeCell="F25" sqref="F25"/>
    </sheetView>
  </sheetViews>
  <sheetFormatPr baseColWidth="10" defaultRowHeight="14.4" x14ac:dyDescent="0.3"/>
  <cols>
    <col min="1" max="2" width="4.5546875" customWidth="1"/>
    <col min="15" max="15" width="13.33203125" bestFit="1" customWidth="1"/>
    <col min="19" max="20" width="12.44140625" bestFit="1" customWidth="1"/>
    <col min="21" max="21" width="12.109375" customWidth="1"/>
  </cols>
  <sheetData>
    <row r="4" spans="2:21" x14ac:dyDescent="0.3">
      <c r="O4" s="4" t="s">
        <v>13</v>
      </c>
    </row>
    <row r="5" spans="2:21" x14ac:dyDescent="0.3">
      <c r="O5" s="5">
        <v>1000</v>
      </c>
    </row>
    <row r="6" spans="2:21" x14ac:dyDescent="0.3">
      <c r="B6" s="1" t="s">
        <v>0</v>
      </c>
      <c r="C6" s="2" t="s">
        <v>1</v>
      </c>
      <c r="D6" s="1" t="s">
        <v>2</v>
      </c>
      <c r="E6" s="1" t="s">
        <v>3</v>
      </c>
      <c r="F6" s="1" t="s">
        <v>4</v>
      </c>
      <c r="G6" s="1" t="s">
        <v>5</v>
      </c>
      <c r="H6" s="1" t="s">
        <v>6</v>
      </c>
      <c r="I6" s="1" t="s">
        <v>7</v>
      </c>
      <c r="J6" s="1" t="s">
        <v>8</v>
      </c>
      <c r="K6" s="1" t="s">
        <v>9</v>
      </c>
      <c r="L6" s="1" t="s">
        <v>10</v>
      </c>
      <c r="M6" s="1" t="s">
        <v>11</v>
      </c>
      <c r="N6" s="6" t="s">
        <v>12</v>
      </c>
      <c r="O6" s="7" t="s">
        <v>14</v>
      </c>
      <c r="P6" s="8" t="s">
        <v>15</v>
      </c>
      <c r="Q6" s="8" t="s">
        <v>16</v>
      </c>
      <c r="R6" s="7" t="s">
        <v>17</v>
      </c>
      <c r="S6" s="7" t="s">
        <v>95</v>
      </c>
      <c r="T6" s="7" t="s">
        <v>96</v>
      </c>
      <c r="U6" s="7" t="s">
        <v>97</v>
      </c>
    </row>
    <row r="7" spans="2:21" x14ac:dyDescent="0.3">
      <c r="B7" s="9">
        <v>1</v>
      </c>
      <c r="C7" s="19">
        <v>45903</v>
      </c>
      <c r="D7" s="9" t="s">
        <v>26</v>
      </c>
      <c r="E7" s="9">
        <v>5</v>
      </c>
      <c r="F7" s="9" t="s">
        <v>39</v>
      </c>
      <c r="G7" s="9" t="s">
        <v>54</v>
      </c>
      <c r="H7" s="9">
        <v>10713.5</v>
      </c>
      <c r="I7" s="9">
        <v>10711</v>
      </c>
      <c r="J7" s="9">
        <v>10716.5</v>
      </c>
      <c r="K7" s="9" t="s">
        <v>60</v>
      </c>
      <c r="L7" s="9" t="s">
        <v>63</v>
      </c>
      <c r="M7" s="12">
        <v>145</v>
      </c>
      <c r="N7" s="13">
        <f>M7/$O$5</f>
        <v>0.14499999999999999</v>
      </c>
      <c r="O7" s="12">
        <f>O5+M7</f>
        <v>1145</v>
      </c>
      <c r="P7" s="3"/>
      <c r="Q7" s="9">
        <f>WEEKNUM(C7)</f>
        <v>36</v>
      </c>
      <c r="R7" s="9" t="str">
        <f>PROPER(TEXT(C7, "mmmm"))</f>
        <v>Septiembre</v>
      </c>
      <c r="S7" s="23">
        <v>0.41666666666666669</v>
      </c>
      <c r="T7" s="23">
        <v>0.4375</v>
      </c>
      <c r="U7" s="9">
        <f>(T7-S7)*1440</f>
        <v>29.999999999999972</v>
      </c>
    </row>
    <row r="8" spans="2:21" x14ac:dyDescent="0.3">
      <c r="B8" s="9">
        <v>2</v>
      </c>
      <c r="C8" s="19">
        <v>45905</v>
      </c>
      <c r="D8" s="9" t="s">
        <v>26</v>
      </c>
      <c r="E8" s="14">
        <v>5</v>
      </c>
      <c r="F8" s="9" t="s">
        <v>45</v>
      </c>
      <c r="G8" s="9" t="s">
        <v>54</v>
      </c>
      <c r="H8" s="14">
        <v>10594.7</v>
      </c>
      <c r="I8" s="14">
        <v>10591.7</v>
      </c>
      <c r="J8" s="14">
        <v>10598.3</v>
      </c>
      <c r="K8" s="9" t="s">
        <v>60</v>
      </c>
      <c r="L8" s="9" t="s">
        <v>63</v>
      </c>
      <c r="M8" s="14">
        <v>175</v>
      </c>
      <c r="N8" s="13">
        <f t="shared" ref="N8:N21" si="0">M8/$O$5</f>
        <v>0.17499999999999999</v>
      </c>
      <c r="O8" s="12">
        <f>O7+M8</f>
        <v>1320</v>
      </c>
      <c r="P8" s="3"/>
      <c r="Q8" s="9">
        <f t="shared" ref="Q8:Q21" si="1">WEEKNUM(C8)</f>
        <v>36</v>
      </c>
      <c r="R8" s="9" t="str">
        <f t="shared" ref="R8:R21" si="2">PROPER(TEXT(C8, "mmmm"))</f>
        <v>Septiembre</v>
      </c>
      <c r="S8" s="23">
        <v>0.27083333333333331</v>
      </c>
      <c r="T8" s="23">
        <v>0.30902777777777779</v>
      </c>
      <c r="U8" s="9">
        <f>(T8-S8)*1440</f>
        <v>55.000000000000043</v>
      </c>
    </row>
    <row r="9" spans="2:21" x14ac:dyDescent="0.3">
      <c r="B9" s="9">
        <v>3</v>
      </c>
      <c r="C9" s="19">
        <v>45916</v>
      </c>
      <c r="D9" s="9" t="s">
        <v>26</v>
      </c>
      <c r="E9" s="14">
        <v>5</v>
      </c>
      <c r="F9" s="9" t="s">
        <v>39</v>
      </c>
      <c r="G9" s="9" t="s">
        <v>54</v>
      </c>
      <c r="H9" s="14">
        <v>10656.5</v>
      </c>
      <c r="I9" s="14">
        <v>10652</v>
      </c>
      <c r="J9" s="14">
        <v>10673.3</v>
      </c>
      <c r="K9" s="9" t="s">
        <v>60</v>
      </c>
      <c r="L9" s="9" t="s">
        <v>63</v>
      </c>
      <c r="M9" s="14">
        <v>835</v>
      </c>
      <c r="N9" s="13">
        <f t="shared" si="0"/>
        <v>0.83499999999999996</v>
      </c>
      <c r="O9" s="12">
        <f t="shared" ref="O9:O21" si="3">O8+M9</f>
        <v>2155</v>
      </c>
      <c r="P9" s="3"/>
      <c r="Q9" s="9">
        <f t="shared" si="1"/>
        <v>38</v>
      </c>
      <c r="R9" s="9" t="str">
        <f t="shared" si="2"/>
        <v>Septiembre</v>
      </c>
      <c r="S9" s="23">
        <v>0.30555555555555558</v>
      </c>
      <c r="T9" s="23">
        <v>0.40625</v>
      </c>
      <c r="U9" s="9">
        <f t="shared" ref="U9:U72" si="4">(T9-S9)*1440</f>
        <v>144.99999999999997</v>
      </c>
    </row>
    <row r="10" spans="2:21" x14ac:dyDescent="0.3">
      <c r="B10" s="9">
        <v>4</v>
      </c>
      <c r="C10" s="19">
        <v>45922</v>
      </c>
      <c r="D10" s="9" t="s">
        <v>37</v>
      </c>
      <c r="E10" s="14">
        <v>8</v>
      </c>
      <c r="F10" s="9" t="s">
        <v>40</v>
      </c>
      <c r="G10" s="9" t="s">
        <v>54</v>
      </c>
      <c r="H10" s="14">
        <v>9709.4130000000005</v>
      </c>
      <c r="I10" s="14">
        <v>9703.2060000000001</v>
      </c>
      <c r="J10" s="14">
        <v>9711</v>
      </c>
      <c r="K10" s="9" t="s">
        <v>61</v>
      </c>
      <c r="L10" s="9" t="s">
        <v>64</v>
      </c>
      <c r="M10" s="14">
        <v>-57.7</v>
      </c>
      <c r="N10" s="13">
        <f t="shared" si="0"/>
        <v>-5.7700000000000001E-2</v>
      </c>
      <c r="O10" s="12">
        <f t="shared" si="3"/>
        <v>2097.3000000000002</v>
      </c>
      <c r="P10" s="3"/>
      <c r="Q10" s="9">
        <f t="shared" si="1"/>
        <v>39</v>
      </c>
      <c r="R10" s="9" t="str">
        <f t="shared" si="2"/>
        <v>Septiembre</v>
      </c>
      <c r="S10" s="23">
        <v>0.34027777777777779</v>
      </c>
      <c r="T10" s="23">
        <v>0.4152777777777778</v>
      </c>
      <c r="U10" s="9">
        <f t="shared" si="4"/>
        <v>108.00000000000001</v>
      </c>
    </row>
    <row r="11" spans="2:21" x14ac:dyDescent="0.3">
      <c r="B11" s="9">
        <v>5</v>
      </c>
      <c r="C11" s="19">
        <v>45922</v>
      </c>
      <c r="D11" s="9" t="s">
        <v>26</v>
      </c>
      <c r="E11" s="14">
        <v>5</v>
      </c>
      <c r="F11" s="9" t="s">
        <v>49</v>
      </c>
      <c r="G11" s="9" t="s">
        <v>54</v>
      </c>
      <c r="H11" s="14">
        <v>10666.5</v>
      </c>
      <c r="I11" s="14">
        <v>10661</v>
      </c>
      <c r="J11" s="14">
        <v>10683.5</v>
      </c>
      <c r="K11" s="9" t="s">
        <v>60</v>
      </c>
      <c r="L11" s="9" t="s">
        <v>63</v>
      </c>
      <c r="M11" s="14">
        <v>855</v>
      </c>
      <c r="N11" s="13">
        <f t="shared" si="0"/>
        <v>0.85499999999999998</v>
      </c>
      <c r="O11" s="12">
        <f t="shared" si="3"/>
        <v>2952.3</v>
      </c>
      <c r="P11" s="3"/>
      <c r="Q11" s="9">
        <f t="shared" si="1"/>
        <v>39</v>
      </c>
      <c r="R11" s="9" t="str">
        <f t="shared" si="2"/>
        <v>Septiembre</v>
      </c>
      <c r="S11" s="23">
        <v>0.2326388888888889</v>
      </c>
      <c r="T11" s="23">
        <v>0.34166666666666667</v>
      </c>
      <c r="U11" s="9">
        <f t="shared" si="4"/>
        <v>157</v>
      </c>
    </row>
    <row r="12" spans="2:21" x14ac:dyDescent="0.3">
      <c r="B12" s="9">
        <v>6</v>
      </c>
      <c r="C12" s="19">
        <v>45924</v>
      </c>
      <c r="D12" s="9" t="s">
        <v>26</v>
      </c>
      <c r="E12" s="14">
        <v>5</v>
      </c>
      <c r="F12" s="9" t="s">
        <v>40</v>
      </c>
      <c r="G12" s="9" t="s">
        <v>54</v>
      </c>
      <c r="H12" s="14">
        <v>10769.7</v>
      </c>
      <c r="I12" s="14">
        <v>10766.3</v>
      </c>
      <c r="J12" s="14">
        <v>10785.7</v>
      </c>
      <c r="K12" s="9" t="s">
        <v>60</v>
      </c>
      <c r="L12" s="9" t="s">
        <v>64</v>
      </c>
      <c r="M12" s="14">
        <v>-175</v>
      </c>
      <c r="N12" s="13">
        <f t="shared" si="0"/>
        <v>-0.17499999999999999</v>
      </c>
      <c r="O12" s="12">
        <f t="shared" si="3"/>
        <v>2777.3</v>
      </c>
      <c r="P12" s="3"/>
      <c r="Q12" s="9">
        <f t="shared" si="1"/>
        <v>39</v>
      </c>
      <c r="R12" s="9" t="str">
        <f t="shared" si="2"/>
        <v>Septiembre</v>
      </c>
      <c r="S12" s="23">
        <v>0.1875</v>
      </c>
      <c r="T12" s="23">
        <v>0.40277777777777779</v>
      </c>
      <c r="U12" s="9">
        <f t="shared" si="4"/>
        <v>310</v>
      </c>
    </row>
    <row r="13" spans="2:21" x14ac:dyDescent="0.3">
      <c r="B13" s="9">
        <v>7</v>
      </c>
      <c r="C13" s="19">
        <v>45926</v>
      </c>
      <c r="D13" s="9" t="s">
        <v>26</v>
      </c>
      <c r="E13" s="14">
        <v>5</v>
      </c>
      <c r="F13" s="9" t="s">
        <v>39</v>
      </c>
      <c r="G13" s="9" t="s">
        <v>54</v>
      </c>
      <c r="H13" s="14">
        <v>10678.5</v>
      </c>
      <c r="I13" s="14">
        <v>10672.5</v>
      </c>
      <c r="J13" s="14">
        <v>10685.3</v>
      </c>
      <c r="K13" s="9" t="s">
        <v>60</v>
      </c>
      <c r="L13" s="9" t="s">
        <v>63</v>
      </c>
      <c r="M13" s="14">
        <v>835</v>
      </c>
      <c r="N13" s="13">
        <f t="shared" si="0"/>
        <v>0.83499999999999996</v>
      </c>
      <c r="O13" s="12">
        <f t="shared" si="3"/>
        <v>3612.3</v>
      </c>
      <c r="P13" s="3"/>
      <c r="Q13" s="9">
        <f t="shared" si="1"/>
        <v>39</v>
      </c>
      <c r="R13" s="9" t="str">
        <f t="shared" si="2"/>
        <v>Septiembre</v>
      </c>
      <c r="S13" s="23">
        <v>0.4284722222222222</v>
      </c>
      <c r="T13" s="23">
        <v>0.45694444444444443</v>
      </c>
      <c r="U13" s="9">
        <f t="shared" si="4"/>
        <v>41.000000000000014</v>
      </c>
    </row>
    <row r="14" spans="2:21" x14ac:dyDescent="0.3">
      <c r="B14" s="9">
        <v>8</v>
      </c>
      <c r="C14" s="19">
        <v>45931</v>
      </c>
      <c r="D14" s="9" t="s">
        <v>26</v>
      </c>
      <c r="E14" s="14">
        <v>5</v>
      </c>
      <c r="F14" s="9" t="s">
        <v>44</v>
      </c>
      <c r="G14" s="9" t="s">
        <v>54</v>
      </c>
      <c r="H14" s="14">
        <v>10692.9</v>
      </c>
      <c r="I14" s="14">
        <v>10689.9</v>
      </c>
      <c r="J14" s="14">
        <v>10699.3</v>
      </c>
      <c r="K14" s="9" t="s">
        <v>60</v>
      </c>
      <c r="L14" s="9" t="s">
        <v>63</v>
      </c>
      <c r="M14" s="14">
        <v>299</v>
      </c>
      <c r="N14" s="13">
        <f t="shared" si="0"/>
        <v>0.29899999999999999</v>
      </c>
      <c r="O14" s="12">
        <f t="shared" si="3"/>
        <v>3911.3</v>
      </c>
      <c r="P14" s="3"/>
      <c r="Q14" s="9">
        <f t="shared" si="1"/>
        <v>40</v>
      </c>
      <c r="R14" s="9" t="str">
        <f t="shared" si="2"/>
        <v>Octubre</v>
      </c>
      <c r="S14" s="23">
        <v>0.24027777777777778</v>
      </c>
      <c r="T14" s="23">
        <v>0.26250000000000001</v>
      </c>
      <c r="U14" s="9">
        <f t="shared" si="4"/>
        <v>32.000000000000007</v>
      </c>
    </row>
    <row r="15" spans="2:21" x14ac:dyDescent="0.3">
      <c r="B15" s="9">
        <v>9</v>
      </c>
      <c r="C15" s="19">
        <v>45932</v>
      </c>
      <c r="D15" s="9" t="s">
        <v>25</v>
      </c>
      <c r="E15" s="14">
        <v>8</v>
      </c>
      <c r="F15" s="9" t="s">
        <v>50</v>
      </c>
      <c r="G15" s="9" t="s">
        <v>55</v>
      </c>
      <c r="H15" s="14">
        <v>8121</v>
      </c>
      <c r="I15" s="14">
        <v>8125</v>
      </c>
      <c r="J15" s="14">
        <v>8091</v>
      </c>
      <c r="K15" s="9" t="s">
        <v>60</v>
      </c>
      <c r="L15" s="9" t="s">
        <v>63</v>
      </c>
      <c r="M15" s="14">
        <v>2450</v>
      </c>
      <c r="N15" s="13">
        <f t="shared" si="0"/>
        <v>2.4500000000000002</v>
      </c>
      <c r="O15" s="12">
        <f t="shared" si="3"/>
        <v>6361.3</v>
      </c>
      <c r="P15" s="3"/>
      <c r="Q15" s="9">
        <f t="shared" si="1"/>
        <v>40</v>
      </c>
      <c r="R15" s="9" t="str">
        <f t="shared" si="2"/>
        <v>Octubre</v>
      </c>
      <c r="S15" s="23">
        <v>0.2722222222222222</v>
      </c>
      <c r="T15" s="23">
        <v>0.2986111111111111</v>
      </c>
      <c r="U15" s="9">
        <f t="shared" si="4"/>
        <v>38.000000000000028</v>
      </c>
    </row>
    <row r="16" spans="2:21" x14ac:dyDescent="0.3">
      <c r="B16" s="9">
        <v>10</v>
      </c>
      <c r="C16" s="19">
        <v>45933</v>
      </c>
      <c r="D16" s="9" t="s">
        <v>22</v>
      </c>
      <c r="E16" s="14">
        <v>10</v>
      </c>
      <c r="F16" s="9" t="s">
        <v>48</v>
      </c>
      <c r="G16" s="9" t="s">
        <v>55</v>
      </c>
      <c r="H16" s="14">
        <v>18401</v>
      </c>
      <c r="I16" s="14">
        <v>18409</v>
      </c>
      <c r="J16" s="14">
        <v>18350</v>
      </c>
      <c r="K16" s="9" t="s">
        <v>61</v>
      </c>
      <c r="L16" s="9" t="s">
        <v>63</v>
      </c>
      <c r="M16" s="14">
        <v>510</v>
      </c>
      <c r="N16" s="13">
        <f t="shared" si="0"/>
        <v>0.51</v>
      </c>
      <c r="O16" s="12">
        <f t="shared" si="3"/>
        <v>6871.3</v>
      </c>
      <c r="P16" s="3"/>
      <c r="Q16" s="9">
        <f t="shared" si="1"/>
        <v>40</v>
      </c>
      <c r="R16" s="9" t="str">
        <f t="shared" si="2"/>
        <v>Octubre</v>
      </c>
      <c r="S16" s="23">
        <v>0.31597222222222221</v>
      </c>
      <c r="T16" s="23">
        <v>0.3576388888888889</v>
      </c>
      <c r="U16" s="9">
        <f t="shared" si="4"/>
        <v>60.000000000000028</v>
      </c>
    </row>
    <row r="17" spans="2:21" x14ac:dyDescent="0.3">
      <c r="B17" s="9">
        <v>11</v>
      </c>
      <c r="C17" s="19">
        <v>45934</v>
      </c>
      <c r="D17" s="9" t="s">
        <v>22</v>
      </c>
      <c r="E17" s="14">
        <v>10</v>
      </c>
      <c r="F17" s="9" t="s">
        <v>46</v>
      </c>
      <c r="G17" s="9" t="s">
        <v>55</v>
      </c>
      <c r="H17" s="14"/>
      <c r="I17" s="14"/>
      <c r="J17" s="14"/>
      <c r="K17" s="9" t="s">
        <v>62</v>
      </c>
      <c r="L17" s="9" t="s">
        <v>63</v>
      </c>
      <c r="M17" s="14">
        <v>520</v>
      </c>
      <c r="N17" s="13">
        <f t="shared" si="0"/>
        <v>0.52</v>
      </c>
      <c r="O17" s="12">
        <f t="shared" si="3"/>
        <v>7391.3</v>
      </c>
      <c r="P17" s="3"/>
      <c r="Q17" s="9">
        <f t="shared" si="1"/>
        <v>40</v>
      </c>
      <c r="R17" s="9" t="str">
        <f t="shared" si="2"/>
        <v>Octubre</v>
      </c>
      <c r="S17" s="23">
        <v>0.43402777777777779</v>
      </c>
      <c r="T17" s="23">
        <v>0.44305555555555554</v>
      </c>
      <c r="U17" s="9">
        <f t="shared" si="4"/>
        <v>12.999999999999954</v>
      </c>
    </row>
    <row r="18" spans="2:21" x14ac:dyDescent="0.3">
      <c r="B18" s="9">
        <v>12</v>
      </c>
      <c r="C18" s="19">
        <v>45935</v>
      </c>
      <c r="D18" s="9" t="s">
        <v>22</v>
      </c>
      <c r="E18" s="14">
        <v>10</v>
      </c>
      <c r="F18" s="9" t="s">
        <v>45</v>
      </c>
      <c r="G18" s="9" t="s">
        <v>54</v>
      </c>
      <c r="H18" s="14"/>
      <c r="I18" s="14"/>
      <c r="J18" s="14"/>
      <c r="K18" s="9" t="s">
        <v>60</v>
      </c>
      <c r="L18" s="9" t="s">
        <v>63</v>
      </c>
      <c r="M18" s="14">
        <v>400</v>
      </c>
      <c r="N18" s="13">
        <f t="shared" si="0"/>
        <v>0.4</v>
      </c>
      <c r="O18" s="12">
        <f t="shared" si="3"/>
        <v>7791.3</v>
      </c>
      <c r="P18" s="3"/>
      <c r="Q18" s="9">
        <f t="shared" si="1"/>
        <v>41</v>
      </c>
      <c r="R18" s="9" t="str">
        <f t="shared" si="2"/>
        <v>Octubre</v>
      </c>
      <c r="S18" s="23">
        <v>0.3923611111111111</v>
      </c>
      <c r="T18" s="23">
        <v>0.44791666666666669</v>
      </c>
      <c r="U18" s="9">
        <f t="shared" si="4"/>
        <v>80.000000000000028</v>
      </c>
    </row>
    <row r="19" spans="2:21" x14ac:dyDescent="0.3">
      <c r="B19" s="9">
        <v>13</v>
      </c>
      <c r="C19" s="19">
        <v>45936</v>
      </c>
      <c r="D19" s="9" t="s">
        <v>28</v>
      </c>
      <c r="E19" s="14"/>
      <c r="F19" s="9"/>
      <c r="G19" s="9"/>
      <c r="H19" s="14"/>
      <c r="I19" s="14"/>
      <c r="J19" s="14"/>
      <c r="K19" s="9"/>
      <c r="L19" s="9"/>
      <c r="M19" s="14"/>
      <c r="N19" s="13">
        <f t="shared" si="0"/>
        <v>0</v>
      </c>
      <c r="O19" s="12">
        <f t="shared" si="3"/>
        <v>7791.3</v>
      </c>
      <c r="P19" s="3"/>
      <c r="Q19" s="9">
        <f t="shared" si="1"/>
        <v>41</v>
      </c>
      <c r="R19" s="9" t="str">
        <f t="shared" si="2"/>
        <v>Octubre</v>
      </c>
      <c r="S19" s="23">
        <v>0.31527777777777777</v>
      </c>
      <c r="T19" s="23">
        <v>0.34513888888888888</v>
      </c>
      <c r="U19" s="9">
        <f t="shared" si="4"/>
        <v>43.000000000000007</v>
      </c>
    </row>
    <row r="20" spans="2:21" x14ac:dyDescent="0.3">
      <c r="B20" s="9">
        <v>14</v>
      </c>
      <c r="C20" s="19">
        <v>45937</v>
      </c>
      <c r="D20" s="9" t="s">
        <v>38</v>
      </c>
      <c r="E20" s="14">
        <v>0.1</v>
      </c>
      <c r="F20" s="9" t="s">
        <v>42</v>
      </c>
      <c r="G20" s="9" t="s">
        <v>55</v>
      </c>
      <c r="H20" s="14">
        <v>3844</v>
      </c>
      <c r="I20" s="14">
        <v>3846.5</v>
      </c>
      <c r="J20" s="14">
        <v>3854</v>
      </c>
      <c r="K20" s="9" t="s">
        <v>60</v>
      </c>
      <c r="L20" s="9" t="s">
        <v>63</v>
      </c>
      <c r="M20" s="14">
        <v>100</v>
      </c>
      <c r="N20" s="13">
        <f t="shared" si="0"/>
        <v>0.1</v>
      </c>
      <c r="O20" s="12">
        <f t="shared" si="3"/>
        <v>7891.3</v>
      </c>
      <c r="P20" s="3"/>
      <c r="Q20" s="9">
        <f t="shared" si="1"/>
        <v>41</v>
      </c>
      <c r="R20" s="9" t="str">
        <f t="shared" si="2"/>
        <v>Octubre</v>
      </c>
      <c r="S20" s="23">
        <v>0.24027777777777778</v>
      </c>
      <c r="T20" s="23">
        <v>0.26111111111111113</v>
      </c>
      <c r="U20" s="9">
        <f t="shared" si="4"/>
        <v>30.000000000000014</v>
      </c>
    </row>
    <row r="21" spans="2:21" x14ac:dyDescent="0.3">
      <c r="B21" s="9">
        <v>15</v>
      </c>
      <c r="C21" s="19">
        <v>45968</v>
      </c>
      <c r="D21" s="9" t="s">
        <v>22</v>
      </c>
      <c r="E21" s="9">
        <v>5</v>
      </c>
      <c r="F21" s="9" t="s">
        <v>39</v>
      </c>
      <c r="G21" s="9" t="s">
        <v>54</v>
      </c>
      <c r="H21" s="9">
        <v>3679</v>
      </c>
      <c r="I21" s="9">
        <v>3675</v>
      </c>
      <c r="J21" s="9">
        <v>3800</v>
      </c>
      <c r="K21" s="9" t="s">
        <v>60</v>
      </c>
      <c r="L21" s="9" t="s">
        <v>63</v>
      </c>
      <c r="M21" s="12">
        <v>160</v>
      </c>
      <c r="N21" s="13">
        <f t="shared" si="0"/>
        <v>0.16</v>
      </c>
      <c r="O21" s="12">
        <f t="shared" si="3"/>
        <v>8051.3</v>
      </c>
      <c r="P21" s="3"/>
      <c r="Q21" s="9">
        <f t="shared" si="1"/>
        <v>45</v>
      </c>
      <c r="R21" s="9" t="str">
        <f t="shared" si="2"/>
        <v>Noviembre</v>
      </c>
      <c r="S21" s="23">
        <v>0.27083333333333331</v>
      </c>
      <c r="T21" s="23">
        <v>0.30208333333333331</v>
      </c>
      <c r="U21" s="9">
        <f t="shared" si="4"/>
        <v>45</v>
      </c>
    </row>
    <row r="22" spans="2:21" x14ac:dyDescent="0.3">
      <c r="B22" s="9">
        <v>16</v>
      </c>
      <c r="C22" s="19"/>
      <c r="D22" s="9"/>
      <c r="E22" s="9"/>
      <c r="F22" s="9"/>
      <c r="G22" s="9"/>
      <c r="H22" s="9"/>
      <c r="I22" s="9"/>
      <c r="J22" s="9"/>
      <c r="K22" s="9"/>
      <c r="L22" s="9"/>
      <c r="M22" s="12"/>
      <c r="N22" s="13"/>
      <c r="O22" s="12"/>
      <c r="P22" s="3"/>
      <c r="Q22" s="9"/>
      <c r="R22" s="9"/>
      <c r="S22" s="23"/>
      <c r="T22" s="23"/>
      <c r="U22" s="9">
        <f t="shared" si="4"/>
        <v>0</v>
      </c>
    </row>
    <row r="23" spans="2:21" x14ac:dyDescent="0.3">
      <c r="B23" s="9">
        <v>17</v>
      </c>
      <c r="C23" s="9"/>
      <c r="D23" s="9"/>
      <c r="E23" s="9"/>
      <c r="F23" s="9"/>
      <c r="G23" s="9"/>
      <c r="H23" s="9"/>
      <c r="I23" s="9"/>
      <c r="J23" s="9"/>
      <c r="K23" s="9"/>
      <c r="L23" s="9"/>
      <c r="M23" s="12"/>
      <c r="N23" s="13"/>
      <c r="O23" s="12"/>
      <c r="P23" s="3"/>
      <c r="Q23" s="9"/>
      <c r="R23" s="9"/>
      <c r="S23" s="23"/>
      <c r="T23" s="23"/>
      <c r="U23" s="9">
        <f t="shared" si="4"/>
        <v>0</v>
      </c>
    </row>
    <row r="24" spans="2:21" x14ac:dyDescent="0.3">
      <c r="B24" s="9">
        <v>18</v>
      </c>
      <c r="C24" s="9"/>
      <c r="D24" s="9"/>
      <c r="E24" s="9"/>
      <c r="F24" s="9"/>
      <c r="G24" s="9"/>
      <c r="H24" s="9"/>
      <c r="I24" s="9"/>
      <c r="J24" s="9"/>
      <c r="K24" s="9"/>
      <c r="L24" s="9"/>
      <c r="M24" s="12"/>
      <c r="N24" s="13"/>
      <c r="O24" s="12"/>
      <c r="P24" s="3"/>
      <c r="Q24" s="9"/>
      <c r="R24" s="9"/>
      <c r="S24" s="23"/>
      <c r="T24" s="23"/>
      <c r="U24" s="9">
        <f t="shared" si="4"/>
        <v>0</v>
      </c>
    </row>
    <row r="25" spans="2:21" x14ac:dyDescent="0.3">
      <c r="B25" s="9">
        <v>19</v>
      </c>
      <c r="C25" s="9"/>
      <c r="D25" s="9"/>
      <c r="E25" s="9"/>
      <c r="F25" s="9"/>
      <c r="G25" s="9"/>
      <c r="H25" s="9"/>
      <c r="I25" s="9"/>
      <c r="J25" s="9"/>
      <c r="K25" s="9"/>
      <c r="L25" s="9"/>
      <c r="M25" s="12"/>
      <c r="N25" s="13"/>
      <c r="O25" s="12"/>
      <c r="P25" s="3"/>
      <c r="Q25" s="9"/>
      <c r="R25" s="9"/>
      <c r="S25" s="23"/>
      <c r="T25" s="23"/>
      <c r="U25" s="9">
        <f t="shared" si="4"/>
        <v>0</v>
      </c>
    </row>
    <row r="26" spans="2:21" x14ac:dyDescent="0.3">
      <c r="B26" s="9">
        <v>20</v>
      </c>
      <c r="C26" s="9"/>
      <c r="D26" s="9"/>
      <c r="E26" s="9"/>
      <c r="F26" s="9"/>
      <c r="G26" s="9"/>
      <c r="H26" s="9"/>
      <c r="I26" s="9"/>
      <c r="J26" s="9"/>
      <c r="K26" s="9"/>
      <c r="L26" s="9"/>
      <c r="M26" s="12"/>
      <c r="N26" s="13"/>
      <c r="O26" s="12"/>
      <c r="P26" s="3"/>
      <c r="Q26" s="9"/>
      <c r="R26" s="9"/>
      <c r="S26" s="23"/>
      <c r="T26" s="23"/>
      <c r="U26" s="9">
        <f t="shared" si="4"/>
        <v>0</v>
      </c>
    </row>
    <row r="27" spans="2:21" x14ac:dyDescent="0.3">
      <c r="B27" s="9">
        <v>21</v>
      </c>
      <c r="C27" s="9"/>
      <c r="D27" s="9"/>
      <c r="E27" s="9"/>
      <c r="F27" s="9"/>
      <c r="G27" s="9"/>
      <c r="H27" s="9"/>
      <c r="I27" s="9"/>
      <c r="J27" s="9"/>
      <c r="K27" s="9"/>
      <c r="L27" s="9"/>
      <c r="M27" s="12"/>
      <c r="N27" s="13"/>
      <c r="O27" s="12"/>
      <c r="P27" s="3"/>
      <c r="Q27" s="9"/>
      <c r="R27" s="9"/>
      <c r="S27" s="23"/>
      <c r="T27" s="23"/>
      <c r="U27" s="9">
        <f t="shared" si="4"/>
        <v>0</v>
      </c>
    </row>
    <row r="28" spans="2:21" x14ac:dyDescent="0.3">
      <c r="B28" s="9">
        <v>22</v>
      </c>
      <c r="C28" s="9"/>
      <c r="D28" s="9"/>
      <c r="E28" s="9"/>
      <c r="F28" s="9"/>
      <c r="G28" s="9"/>
      <c r="H28" s="9"/>
      <c r="I28" s="9"/>
      <c r="J28" s="9"/>
      <c r="K28" s="9"/>
      <c r="L28" s="9"/>
      <c r="M28" s="12"/>
      <c r="N28" s="13"/>
      <c r="O28" s="12"/>
      <c r="P28" s="3"/>
      <c r="Q28" s="9"/>
      <c r="R28" s="9"/>
      <c r="S28" s="23"/>
      <c r="T28" s="23"/>
      <c r="U28" s="9">
        <f t="shared" si="4"/>
        <v>0</v>
      </c>
    </row>
    <row r="29" spans="2:21" x14ac:dyDescent="0.3">
      <c r="B29" s="9">
        <v>23</v>
      </c>
      <c r="C29" s="9"/>
      <c r="D29" s="9"/>
      <c r="E29" s="9"/>
      <c r="F29" s="9"/>
      <c r="G29" s="9"/>
      <c r="H29" s="9"/>
      <c r="I29" s="9"/>
      <c r="J29" s="9"/>
      <c r="K29" s="9"/>
      <c r="L29" s="9"/>
      <c r="M29" s="12"/>
      <c r="N29" s="13"/>
      <c r="O29" s="12"/>
      <c r="P29" s="3"/>
      <c r="Q29" s="9"/>
      <c r="R29" s="9"/>
      <c r="S29" s="23"/>
      <c r="T29" s="23"/>
      <c r="U29" s="9">
        <f t="shared" si="4"/>
        <v>0</v>
      </c>
    </row>
    <row r="30" spans="2:21" x14ac:dyDescent="0.3">
      <c r="B30" s="9">
        <v>24</v>
      </c>
      <c r="C30" s="9"/>
      <c r="D30" s="9"/>
      <c r="E30" s="9"/>
      <c r="F30" s="9"/>
      <c r="G30" s="9"/>
      <c r="H30" s="9"/>
      <c r="I30" s="9"/>
      <c r="J30" s="9"/>
      <c r="K30" s="9"/>
      <c r="L30" s="9"/>
      <c r="M30" s="12"/>
      <c r="N30" s="13"/>
      <c r="O30" s="12"/>
      <c r="P30" s="3"/>
      <c r="Q30" s="9"/>
      <c r="R30" s="9"/>
      <c r="S30" s="23"/>
      <c r="T30" s="23"/>
      <c r="U30" s="9">
        <f t="shared" si="4"/>
        <v>0</v>
      </c>
    </row>
    <row r="31" spans="2:21" x14ac:dyDescent="0.3">
      <c r="B31" s="9">
        <v>25</v>
      </c>
      <c r="C31" s="9"/>
      <c r="D31" s="9"/>
      <c r="E31" s="9"/>
      <c r="F31" s="9"/>
      <c r="G31" s="9"/>
      <c r="H31" s="9"/>
      <c r="I31" s="9"/>
      <c r="J31" s="9"/>
      <c r="K31" s="9"/>
      <c r="L31" s="9"/>
      <c r="M31" s="12"/>
      <c r="N31" s="13"/>
      <c r="O31" s="12"/>
      <c r="P31" s="3"/>
      <c r="Q31" s="9"/>
      <c r="R31" s="9"/>
      <c r="S31" s="23"/>
      <c r="T31" s="23"/>
      <c r="U31" s="9">
        <f t="shared" si="4"/>
        <v>0</v>
      </c>
    </row>
    <row r="32" spans="2:21" x14ac:dyDescent="0.3">
      <c r="B32" s="9">
        <v>26</v>
      </c>
      <c r="C32" s="9"/>
      <c r="D32" s="9"/>
      <c r="E32" s="9"/>
      <c r="F32" s="9"/>
      <c r="G32" s="9"/>
      <c r="H32" s="9"/>
      <c r="I32" s="9"/>
      <c r="J32" s="9"/>
      <c r="K32" s="9"/>
      <c r="L32" s="9"/>
      <c r="M32" s="12"/>
      <c r="N32" s="13"/>
      <c r="O32" s="12"/>
      <c r="P32" s="3"/>
      <c r="Q32" s="9"/>
      <c r="R32" s="9"/>
      <c r="S32" s="23"/>
      <c r="T32" s="23"/>
      <c r="U32" s="9">
        <f t="shared" si="4"/>
        <v>0</v>
      </c>
    </row>
    <row r="33" spans="2:21" x14ac:dyDescent="0.3">
      <c r="B33" s="9">
        <v>27</v>
      </c>
      <c r="C33" s="9"/>
      <c r="D33" s="9"/>
      <c r="E33" s="9"/>
      <c r="F33" s="9"/>
      <c r="G33" s="9"/>
      <c r="H33" s="9"/>
      <c r="I33" s="9"/>
      <c r="J33" s="9"/>
      <c r="K33" s="9"/>
      <c r="L33" s="9"/>
      <c r="M33" s="12"/>
      <c r="N33" s="13"/>
      <c r="O33" s="12"/>
      <c r="P33" s="3"/>
      <c r="Q33" s="9"/>
      <c r="R33" s="9"/>
      <c r="S33" s="23"/>
      <c r="T33" s="23"/>
      <c r="U33" s="9">
        <f t="shared" si="4"/>
        <v>0</v>
      </c>
    </row>
    <row r="34" spans="2:21" x14ac:dyDescent="0.3">
      <c r="B34" s="9">
        <v>28</v>
      </c>
      <c r="C34" s="9"/>
      <c r="D34" s="9"/>
      <c r="E34" s="9"/>
      <c r="F34" s="9"/>
      <c r="G34" s="9"/>
      <c r="H34" s="9"/>
      <c r="I34" s="9"/>
      <c r="J34" s="9"/>
      <c r="K34" s="9"/>
      <c r="L34" s="9"/>
      <c r="M34" s="12"/>
      <c r="N34" s="13"/>
      <c r="O34" s="12"/>
      <c r="P34" s="3"/>
      <c r="Q34" s="9"/>
      <c r="R34" s="9"/>
      <c r="S34" s="23"/>
      <c r="T34" s="23"/>
      <c r="U34" s="9">
        <f t="shared" si="4"/>
        <v>0</v>
      </c>
    </row>
    <row r="35" spans="2:21" x14ac:dyDescent="0.3">
      <c r="B35" s="9">
        <v>29</v>
      </c>
      <c r="C35" s="9"/>
      <c r="D35" s="9"/>
      <c r="E35" s="9"/>
      <c r="F35" s="9"/>
      <c r="G35" s="9"/>
      <c r="H35" s="9"/>
      <c r="I35" s="9"/>
      <c r="J35" s="9"/>
      <c r="K35" s="9"/>
      <c r="L35" s="9"/>
      <c r="M35" s="12"/>
      <c r="N35" s="13"/>
      <c r="O35" s="12"/>
      <c r="P35" s="3"/>
      <c r="Q35" s="9"/>
      <c r="R35" s="9"/>
      <c r="S35" s="23"/>
      <c r="T35" s="23"/>
      <c r="U35" s="9">
        <f t="shared" si="4"/>
        <v>0</v>
      </c>
    </row>
    <row r="36" spans="2:21" x14ac:dyDescent="0.3">
      <c r="B36" s="9">
        <v>30</v>
      </c>
      <c r="C36" s="9"/>
      <c r="D36" s="9"/>
      <c r="E36" s="9"/>
      <c r="F36" s="9"/>
      <c r="G36" s="9"/>
      <c r="H36" s="9"/>
      <c r="I36" s="9"/>
      <c r="J36" s="9"/>
      <c r="K36" s="9"/>
      <c r="L36" s="9"/>
      <c r="M36" s="12"/>
      <c r="N36" s="13"/>
      <c r="O36" s="12"/>
      <c r="P36" s="3"/>
      <c r="Q36" s="9"/>
      <c r="R36" s="9"/>
      <c r="S36" s="23"/>
      <c r="T36" s="23"/>
      <c r="U36" s="9">
        <f t="shared" si="4"/>
        <v>0</v>
      </c>
    </row>
    <row r="37" spans="2:21" x14ac:dyDescent="0.3">
      <c r="B37" s="9">
        <v>31</v>
      </c>
      <c r="C37" s="9"/>
      <c r="D37" s="9"/>
      <c r="E37" s="9"/>
      <c r="F37" s="9"/>
      <c r="G37" s="9"/>
      <c r="H37" s="9"/>
      <c r="I37" s="9"/>
      <c r="J37" s="9"/>
      <c r="K37" s="9"/>
      <c r="L37" s="9"/>
      <c r="M37" s="12"/>
      <c r="N37" s="13"/>
      <c r="O37" s="12"/>
      <c r="P37" s="3"/>
      <c r="Q37" s="9"/>
      <c r="R37" s="9"/>
      <c r="S37" s="23"/>
      <c r="T37" s="23"/>
      <c r="U37" s="9">
        <f t="shared" si="4"/>
        <v>0</v>
      </c>
    </row>
    <row r="38" spans="2:21" x14ac:dyDescent="0.3">
      <c r="B38" s="9">
        <v>32</v>
      </c>
      <c r="C38" s="9"/>
      <c r="D38" s="9"/>
      <c r="E38" s="9"/>
      <c r="F38" s="9"/>
      <c r="G38" s="9"/>
      <c r="H38" s="9"/>
      <c r="I38" s="9"/>
      <c r="J38" s="9"/>
      <c r="K38" s="9"/>
      <c r="L38" s="9"/>
      <c r="M38" s="12"/>
      <c r="N38" s="13"/>
      <c r="O38" s="12"/>
      <c r="P38" s="3"/>
      <c r="Q38" s="9"/>
      <c r="R38" s="9"/>
      <c r="S38" s="23"/>
      <c r="T38" s="23"/>
      <c r="U38" s="9">
        <f t="shared" si="4"/>
        <v>0</v>
      </c>
    </row>
    <row r="39" spans="2:21" x14ac:dyDescent="0.3">
      <c r="B39" s="9">
        <v>33</v>
      </c>
      <c r="C39" s="9"/>
      <c r="D39" s="9"/>
      <c r="E39" s="9"/>
      <c r="F39" s="9"/>
      <c r="G39" s="9"/>
      <c r="H39" s="9"/>
      <c r="I39" s="9"/>
      <c r="J39" s="9"/>
      <c r="K39" s="9"/>
      <c r="L39" s="9"/>
      <c r="M39" s="12"/>
      <c r="N39" s="13"/>
      <c r="O39" s="12"/>
      <c r="P39" s="3"/>
      <c r="Q39" s="9"/>
      <c r="R39" s="9"/>
      <c r="S39" s="23"/>
      <c r="T39" s="23"/>
      <c r="U39" s="9">
        <f t="shared" si="4"/>
        <v>0</v>
      </c>
    </row>
    <row r="40" spans="2:21" x14ac:dyDescent="0.3">
      <c r="B40" s="9">
        <v>34</v>
      </c>
      <c r="C40" s="9"/>
      <c r="D40" s="9"/>
      <c r="E40" s="9"/>
      <c r="F40" s="9"/>
      <c r="G40" s="9"/>
      <c r="H40" s="9"/>
      <c r="I40" s="9"/>
      <c r="J40" s="9"/>
      <c r="K40" s="9"/>
      <c r="L40" s="9"/>
      <c r="M40" s="12"/>
      <c r="N40" s="13"/>
      <c r="O40" s="12"/>
      <c r="P40" s="3"/>
      <c r="Q40" s="9"/>
      <c r="R40" s="9"/>
      <c r="S40" s="23"/>
      <c r="T40" s="23"/>
      <c r="U40" s="9">
        <f t="shared" si="4"/>
        <v>0</v>
      </c>
    </row>
    <row r="41" spans="2:21" x14ac:dyDescent="0.3">
      <c r="B41" s="9">
        <v>35</v>
      </c>
      <c r="C41" s="9"/>
      <c r="D41" s="9"/>
      <c r="E41" s="9"/>
      <c r="F41" s="9"/>
      <c r="G41" s="9"/>
      <c r="H41" s="9"/>
      <c r="I41" s="9"/>
      <c r="J41" s="9"/>
      <c r="K41" s="9"/>
      <c r="L41" s="9"/>
      <c r="M41" s="12"/>
      <c r="N41" s="13"/>
      <c r="O41" s="12"/>
      <c r="P41" s="3"/>
      <c r="Q41" s="9"/>
      <c r="R41" s="9"/>
      <c r="S41" s="23"/>
      <c r="T41" s="23"/>
      <c r="U41" s="9">
        <f t="shared" si="4"/>
        <v>0</v>
      </c>
    </row>
    <row r="42" spans="2:21" x14ac:dyDescent="0.3">
      <c r="B42" s="9">
        <v>36</v>
      </c>
      <c r="C42" s="9"/>
      <c r="D42" s="9"/>
      <c r="E42" s="9"/>
      <c r="F42" s="9"/>
      <c r="G42" s="9"/>
      <c r="H42" s="9"/>
      <c r="I42" s="9"/>
      <c r="J42" s="9"/>
      <c r="K42" s="9"/>
      <c r="L42" s="9"/>
      <c r="M42" s="12"/>
      <c r="N42" s="13"/>
      <c r="O42" s="12"/>
      <c r="P42" s="3"/>
      <c r="Q42" s="9"/>
      <c r="R42" s="9"/>
      <c r="S42" s="23"/>
      <c r="T42" s="23"/>
      <c r="U42" s="9">
        <f t="shared" si="4"/>
        <v>0</v>
      </c>
    </row>
    <row r="43" spans="2:21" x14ac:dyDescent="0.3">
      <c r="B43" s="9">
        <v>37</v>
      </c>
      <c r="C43" s="9"/>
      <c r="D43" s="9"/>
      <c r="E43" s="9"/>
      <c r="F43" s="9"/>
      <c r="G43" s="9"/>
      <c r="H43" s="9"/>
      <c r="I43" s="9"/>
      <c r="J43" s="9"/>
      <c r="K43" s="9"/>
      <c r="L43" s="9"/>
      <c r="M43" s="12"/>
      <c r="N43" s="13"/>
      <c r="O43" s="12"/>
      <c r="P43" s="3"/>
      <c r="Q43" s="9"/>
      <c r="R43" s="9"/>
      <c r="S43" s="23"/>
      <c r="T43" s="23"/>
      <c r="U43" s="9">
        <f t="shared" si="4"/>
        <v>0</v>
      </c>
    </row>
    <row r="44" spans="2:21" x14ac:dyDescent="0.3">
      <c r="B44" s="9">
        <v>38</v>
      </c>
      <c r="C44" s="9"/>
      <c r="D44" s="9"/>
      <c r="E44" s="9"/>
      <c r="F44" s="9"/>
      <c r="G44" s="9"/>
      <c r="H44" s="9"/>
      <c r="I44" s="9"/>
      <c r="J44" s="9"/>
      <c r="K44" s="9"/>
      <c r="L44" s="9"/>
      <c r="M44" s="12"/>
      <c r="N44" s="13"/>
      <c r="O44" s="12"/>
      <c r="P44" s="3"/>
      <c r="Q44" s="9"/>
      <c r="R44" s="9"/>
      <c r="S44" s="23"/>
      <c r="T44" s="23"/>
      <c r="U44" s="9">
        <f t="shared" si="4"/>
        <v>0</v>
      </c>
    </row>
    <row r="45" spans="2:21" x14ac:dyDescent="0.3">
      <c r="B45" s="9">
        <v>39</v>
      </c>
      <c r="C45" s="9"/>
      <c r="D45" s="9"/>
      <c r="E45" s="9"/>
      <c r="F45" s="9"/>
      <c r="G45" s="9"/>
      <c r="H45" s="9"/>
      <c r="I45" s="9"/>
      <c r="J45" s="9"/>
      <c r="K45" s="9"/>
      <c r="L45" s="9"/>
      <c r="M45" s="12"/>
      <c r="N45" s="13"/>
      <c r="O45" s="12"/>
      <c r="P45" s="3"/>
      <c r="Q45" s="9"/>
      <c r="R45" s="9"/>
      <c r="S45" s="23"/>
      <c r="T45" s="23"/>
      <c r="U45" s="9">
        <f t="shared" si="4"/>
        <v>0</v>
      </c>
    </row>
    <row r="46" spans="2:21" x14ac:dyDescent="0.3">
      <c r="B46" s="9">
        <v>40</v>
      </c>
      <c r="C46" s="9"/>
      <c r="D46" s="9"/>
      <c r="E46" s="9"/>
      <c r="F46" s="9"/>
      <c r="G46" s="9"/>
      <c r="H46" s="9"/>
      <c r="I46" s="9"/>
      <c r="J46" s="9"/>
      <c r="K46" s="9"/>
      <c r="L46" s="9"/>
      <c r="M46" s="12"/>
      <c r="N46" s="13"/>
      <c r="O46" s="12"/>
      <c r="P46" s="3"/>
      <c r="Q46" s="9"/>
      <c r="R46" s="9"/>
      <c r="S46" s="23"/>
      <c r="T46" s="23"/>
      <c r="U46" s="9">
        <f t="shared" si="4"/>
        <v>0</v>
      </c>
    </row>
    <row r="47" spans="2:21" x14ac:dyDescent="0.3">
      <c r="B47" s="9">
        <v>41</v>
      </c>
      <c r="C47" s="9"/>
      <c r="D47" s="9"/>
      <c r="E47" s="9"/>
      <c r="F47" s="9"/>
      <c r="G47" s="9"/>
      <c r="H47" s="9"/>
      <c r="I47" s="9"/>
      <c r="J47" s="9"/>
      <c r="K47" s="9"/>
      <c r="L47" s="9"/>
      <c r="M47" s="12"/>
      <c r="N47" s="13"/>
      <c r="O47" s="12"/>
      <c r="P47" s="3"/>
      <c r="Q47" s="9"/>
      <c r="R47" s="9"/>
      <c r="S47" s="23"/>
      <c r="T47" s="23"/>
      <c r="U47" s="9">
        <f t="shared" si="4"/>
        <v>0</v>
      </c>
    </row>
    <row r="48" spans="2:21" x14ac:dyDescent="0.3">
      <c r="B48" s="9">
        <v>42</v>
      </c>
      <c r="C48" s="9"/>
      <c r="D48" s="9"/>
      <c r="E48" s="9"/>
      <c r="F48" s="9"/>
      <c r="G48" s="9"/>
      <c r="H48" s="9"/>
      <c r="I48" s="9"/>
      <c r="J48" s="9"/>
      <c r="K48" s="9"/>
      <c r="L48" s="9"/>
      <c r="M48" s="12"/>
      <c r="N48" s="13"/>
      <c r="O48" s="12"/>
      <c r="P48" s="3"/>
      <c r="Q48" s="9"/>
      <c r="R48" s="9"/>
      <c r="S48" s="23"/>
      <c r="T48" s="23"/>
      <c r="U48" s="9">
        <f t="shared" si="4"/>
        <v>0</v>
      </c>
    </row>
    <row r="49" spans="2:21" x14ac:dyDescent="0.3">
      <c r="B49" s="9">
        <v>43</v>
      </c>
      <c r="C49" s="9"/>
      <c r="D49" s="9"/>
      <c r="E49" s="9"/>
      <c r="F49" s="9"/>
      <c r="G49" s="9"/>
      <c r="H49" s="9"/>
      <c r="I49" s="9"/>
      <c r="J49" s="9"/>
      <c r="K49" s="9"/>
      <c r="L49" s="9"/>
      <c r="M49" s="12"/>
      <c r="N49" s="13"/>
      <c r="O49" s="12"/>
      <c r="P49" s="3"/>
      <c r="Q49" s="9"/>
      <c r="R49" s="9"/>
      <c r="S49" s="23"/>
      <c r="T49" s="23"/>
      <c r="U49" s="9">
        <f t="shared" si="4"/>
        <v>0</v>
      </c>
    </row>
    <row r="50" spans="2:21" x14ac:dyDescent="0.3">
      <c r="B50" s="9">
        <v>44</v>
      </c>
      <c r="C50" s="9"/>
      <c r="D50" s="9"/>
      <c r="E50" s="9"/>
      <c r="F50" s="9"/>
      <c r="G50" s="9"/>
      <c r="H50" s="9"/>
      <c r="I50" s="9"/>
      <c r="J50" s="9"/>
      <c r="K50" s="9"/>
      <c r="L50" s="9"/>
      <c r="M50" s="12"/>
      <c r="N50" s="13"/>
      <c r="O50" s="12"/>
      <c r="P50" s="3"/>
      <c r="Q50" s="9"/>
      <c r="R50" s="9"/>
      <c r="S50" s="23"/>
      <c r="T50" s="23"/>
      <c r="U50" s="9">
        <f t="shared" si="4"/>
        <v>0</v>
      </c>
    </row>
    <row r="51" spans="2:21" x14ac:dyDescent="0.3">
      <c r="B51" s="9">
        <v>45</v>
      </c>
      <c r="C51" s="9"/>
      <c r="D51" s="9"/>
      <c r="E51" s="9"/>
      <c r="F51" s="9"/>
      <c r="G51" s="9"/>
      <c r="H51" s="9"/>
      <c r="I51" s="9"/>
      <c r="J51" s="9"/>
      <c r="K51" s="9"/>
      <c r="L51" s="9"/>
      <c r="M51" s="12"/>
      <c r="N51" s="13"/>
      <c r="O51" s="12"/>
      <c r="P51" s="3"/>
      <c r="Q51" s="9"/>
      <c r="R51" s="9"/>
      <c r="S51" s="23"/>
      <c r="T51" s="23"/>
      <c r="U51" s="9">
        <f t="shared" si="4"/>
        <v>0</v>
      </c>
    </row>
    <row r="52" spans="2:21" x14ac:dyDescent="0.3">
      <c r="B52" s="9">
        <v>46</v>
      </c>
      <c r="C52" s="9"/>
      <c r="D52" s="9"/>
      <c r="E52" s="9"/>
      <c r="F52" s="9"/>
      <c r="G52" s="9"/>
      <c r="H52" s="9"/>
      <c r="I52" s="9"/>
      <c r="J52" s="9"/>
      <c r="K52" s="9"/>
      <c r="L52" s="9"/>
      <c r="M52" s="12"/>
      <c r="N52" s="13"/>
      <c r="O52" s="12"/>
      <c r="P52" s="3"/>
      <c r="Q52" s="9"/>
      <c r="R52" s="9"/>
      <c r="S52" s="23"/>
      <c r="T52" s="23"/>
      <c r="U52" s="9">
        <f t="shared" si="4"/>
        <v>0</v>
      </c>
    </row>
    <row r="53" spans="2:21" x14ac:dyDescent="0.3">
      <c r="B53" s="9">
        <v>47</v>
      </c>
      <c r="C53" s="9"/>
      <c r="D53" s="9"/>
      <c r="E53" s="9"/>
      <c r="F53" s="9"/>
      <c r="G53" s="9"/>
      <c r="H53" s="9"/>
      <c r="I53" s="9"/>
      <c r="J53" s="9"/>
      <c r="K53" s="9"/>
      <c r="L53" s="9"/>
      <c r="M53" s="12"/>
      <c r="N53" s="13"/>
      <c r="O53" s="12"/>
      <c r="P53" s="3"/>
      <c r="Q53" s="9"/>
      <c r="R53" s="9"/>
      <c r="S53" s="23"/>
      <c r="T53" s="23"/>
      <c r="U53" s="9">
        <f t="shared" si="4"/>
        <v>0</v>
      </c>
    </row>
    <row r="54" spans="2:21" x14ac:dyDescent="0.3">
      <c r="B54" s="9">
        <v>48</v>
      </c>
      <c r="C54" s="9"/>
      <c r="D54" s="9"/>
      <c r="E54" s="9"/>
      <c r="F54" s="9"/>
      <c r="G54" s="9"/>
      <c r="H54" s="9"/>
      <c r="I54" s="9"/>
      <c r="J54" s="9"/>
      <c r="K54" s="9"/>
      <c r="L54" s="9"/>
      <c r="M54" s="12"/>
      <c r="N54" s="13"/>
      <c r="O54" s="12"/>
      <c r="P54" s="3"/>
      <c r="Q54" s="9"/>
      <c r="R54" s="9"/>
      <c r="S54" s="23"/>
      <c r="T54" s="23"/>
      <c r="U54" s="9">
        <f t="shared" si="4"/>
        <v>0</v>
      </c>
    </row>
    <row r="55" spans="2:21" x14ac:dyDescent="0.3">
      <c r="B55" s="9">
        <v>49</v>
      </c>
      <c r="C55" s="9"/>
      <c r="D55" s="9"/>
      <c r="E55" s="9"/>
      <c r="F55" s="9"/>
      <c r="G55" s="9"/>
      <c r="H55" s="9"/>
      <c r="I55" s="9"/>
      <c r="J55" s="9"/>
      <c r="K55" s="9"/>
      <c r="L55" s="9"/>
      <c r="M55" s="12"/>
      <c r="N55" s="13"/>
      <c r="O55" s="12"/>
      <c r="P55" s="3"/>
      <c r="Q55" s="9"/>
      <c r="R55" s="9"/>
      <c r="S55" s="23"/>
      <c r="T55" s="23"/>
      <c r="U55" s="9">
        <f t="shared" si="4"/>
        <v>0</v>
      </c>
    </row>
    <row r="56" spans="2:21" x14ac:dyDescent="0.3">
      <c r="B56" s="9">
        <v>50</v>
      </c>
      <c r="C56" s="9"/>
      <c r="D56" s="9"/>
      <c r="E56" s="9"/>
      <c r="F56" s="9"/>
      <c r="G56" s="9"/>
      <c r="H56" s="9"/>
      <c r="I56" s="9"/>
      <c r="J56" s="9"/>
      <c r="K56" s="9"/>
      <c r="L56" s="9"/>
      <c r="M56" s="12"/>
      <c r="N56" s="13"/>
      <c r="O56" s="12"/>
      <c r="P56" s="3"/>
      <c r="Q56" s="9"/>
      <c r="R56" s="9"/>
      <c r="S56" s="23"/>
      <c r="T56" s="23"/>
      <c r="U56" s="9">
        <f t="shared" si="4"/>
        <v>0</v>
      </c>
    </row>
    <row r="57" spans="2:21" x14ac:dyDescent="0.3">
      <c r="B57" s="9">
        <v>51</v>
      </c>
      <c r="C57" s="9"/>
      <c r="D57" s="9"/>
      <c r="E57" s="9"/>
      <c r="F57" s="9"/>
      <c r="G57" s="9"/>
      <c r="H57" s="9"/>
      <c r="I57" s="9"/>
      <c r="J57" s="9"/>
      <c r="K57" s="9"/>
      <c r="L57" s="9"/>
      <c r="M57" s="12"/>
      <c r="N57" s="13"/>
      <c r="O57" s="12"/>
      <c r="P57" s="3"/>
      <c r="Q57" s="9"/>
      <c r="R57" s="9"/>
      <c r="S57" s="23"/>
      <c r="T57" s="23"/>
      <c r="U57" s="9">
        <f t="shared" si="4"/>
        <v>0</v>
      </c>
    </row>
    <row r="58" spans="2:21" x14ac:dyDescent="0.3">
      <c r="B58" s="9">
        <v>52</v>
      </c>
      <c r="C58" s="9"/>
      <c r="D58" s="9"/>
      <c r="E58" s="9"/>
      <c r="F58" s="9"/>
      <c r="G58" s="9"/>
      <c r="H58" s="9"/>
      <c r="I58" s="9"/>
      <c r="J58" s="9"/>
      <c r="K58" s="9"/>
      <c r="L58" s="9"/>
      <c r="M58" s="12"/>
      <c r="N58" s="13"/>
      <c r="O58" s="12"/>
      <c r="P58" s="3"/>
      <c r="Q58" s="9"/>
      <c r="R58" s="9"/>
      <c r="S58" s="23"/>
      <c r="T58" s="23"/>
      <c r="U58" s="9">
        <f t="shared" si="4"/>
        <v>0</v>
      </c>
    </row>
    <row r="59" spans="2:21" x14ac:dyDescent="0.3">
      <c r="B59" s="9">
        <v>53</v>
      </c>
      <c r="C59" s="9"/>
      <c r="D59" s="9"/>
      <c r="E59" s="9"/>
      <c r="F59" s="9"/>
      <c r="G59" s="9"/>
      <c r="H59" s="9"/>
      <c r="I59" s="9"/>
      <c r="J59" s="9"/>
      <c r="K59" s="9"/>
      <c r="L59" s="9"/>
      <c r="M59" s="12"/>
      <c r="N59" s="13"/>
      <c r="O59" s="12"/>
      <c r="P59" s="3"/>
      <c r="Q59" s="9"/>
      <c r="R59" s="9"/>
      <c r="S59" s="23"/>
      <c r="T59" s="23"/>
      <c r="U59" s="9">
        <f t="shared" si="4"/>
        <v>0</v>
      </c>
    </row>
    <row r="60" spans="2:21" x14ac:dyDescent="0.3">
      <c r="B60" s="9">
        <v>54</v>
      </c>
      <c r="C60" s="9"/>
      <c r="D60" s="9"/>
      <c r="E60" s="9"/>
      <c r="F60" s="9"/>
      <c r="G60" s="9"/>
      <c r="H60" s="9"/>
      <c r="I60" s="9"/>
      <c r="J60" s="9"/>
      <c r="K60" s="9"/>
      <c r="L60" s="9"/>
      <c r="M60" s="12"/>
      <c r="N60" s="13"/>
      <c r="O60" s="12"/>
      <c r="P60" s="3"/>
      <c r="Q60" s="9"/>
      <c r="R60" s="9"/>
      <c r="S60" s="23"/>
      <c r="T60" s="23"/>
      <c r="U60" s="9">
        <f t="shared" si="4"/>
        <v>0</v>
      </c>
    </row>
    <row r="61" spans="2:21" x14ac:dyDescent="0.3">
      <c r="B61" s="9">
        <v>55</v>
      </c>
      <c r="C61" s="9"/>
      <c r="D61" s="9"/>
      <c r="E61" s="9"/>
      <c r="F61" s="9"/>
      <c r="G61" s="9"/>
      <c r="H61" s="9"/>
      <c r="I61" s="9"/>
      <c r="J61" s="9"/>
      <c r="K61" s="9"/>
      <c r="L61" s="9"/>
      <c r="M61" s="12"/>
      <c r="N61" s="13"/>
      <c r="O61" s="12"/>
      <c r="P61" s="3"/>
      <c r="Q61" s="9"/>
      <c r="R61" s="9"/>
      <c r="S61" s="23"/>
      <c r="T61" s="23"/>
      <c r="U61" s="9">
        <f t="shared" si="4"/>
        <v>0</v>
      </c>
    </row>
    <row r="62" spans="2:21" x14ac:dyDescent="0.3">
      <c r="B62" s="9">
        <v>56</v>
      </c>
      <c r="C62" s="9"/>
      <c r="D62" s="9"/>
      <c r="E62" s="9"/>
      <c r="F62" s="9"/>
      <c r="G62" s="9"/>
      <c r="H62" s="9"/>
      <c r="I62" s="9"/>
      <c r="J62" s="9"/>
      <c r="K62" s="9"/>
      <c r="L62" s="9"/>
      <c r="M62" s="12"/>
      <c r="N62" s="13"/>
      <c r="O62" s="12"/>
      <c r="P62" s="3"/>
      <c r="Q62" s="9"/>
      <c r="R62" s="9"/>
      <c r="S62" s="23"/>
      <c r="T62" s="23"/>
      <c r="U62" s="9">
        <f t="shared" si="4"/>
        <v>0</v>
      </c>
    </row>
    <row r="63" spans="2:21" x14ac:dyDescent="0.3">
      <c r="B63" s="9">
        <v>57</v>
      </c>
      <c r="C63" s="9"/>
      <c r="D63" s="9"/>
      <c r="E63" s="9"/>
      <c r="F63" s="9"/>
      <c r="G63" s="9"/>
      <c r="H63" s="9"/>
      <c r="I63" s="9"/>
      <c r="J63" s="9"/>
      <c r="K63" s="9"/>
      <c r="L63" s="9"/>
      <c r="M63" s="12"/>
      <c r="N63" s="13"/>
      <c r="O63" s="12"/>
      <c r="P63" s="3"/>
      <c r="Q63" s="9"/>
      <c r="R63" s="9"/>
      <c r="S63" s="23"/>
      <c r="T63" s="23"/>
      <c r="U63" s="9">
        <f t="shared" si="4"/>
        <v>0</v>
      </c>
    </row>
    <row r="64" spans="2:21" x14ac:dyDescent="0.3">
      <c r="B64" s="9">
        <v>58</v>
      </c>
      <c r="C64" s="9"/>
      <c r="D64" s="9"/>
      <c r="E64" s="9"/>
      <c r="F64" s="9"/>
      <c r="G64" s="9"/>
      <c r="H64" s="9"/>
      <c r="I64" s="9"/>
      <c r="J64" s="9"/>
      <c r="K64" s="9"/>
      <c r="L64" s="9"/>
      <c r="M64" s="12"/>
      <c r="N64" s="13"/>
      <c r="O64" s="12"/>
      <c r="P64" s="3"/>
      <c r="Q64" s="9"/>
      <c r="R64" s="9"/>
      <c r="S64" s="23"/>
      <c r="T64" s="23"/>
      <c r="U64" s="9">
        <f t="shared" si="4"/>
        <v>0</v>
      </c>
    </row>
    <row r="65" spans="2:21" x14ac:dyDescent="0.3">
      <c r="B65" s="9">
        <v>59</v>
      </c>
      <c r="C65" s="9"/>
      <c r="D65" s="9"/>
      <c r="E65" s="9"/>
      <c r="F65" s="9"/>
      <c r="G65" s="9"/>
      <c r="H65" s="9"/>
      <c r="I65" s="9"/>
      <c r="J65" s="9"/>
      <c r="K65" s="9"/>
      <c r="L65" s="9"/>
      <c r="M65" s="12"/>
      <c r="N65" s="13"/>
      <c r="O65" s="12"/>
      <c r="P65" s="3"/>
      <c r="Q65" s="9"/>
      <c r="R65" s="9"/>
      <c r="S65" s="23"/>
      <c r="T65" s="23"/>
      <c r="U65" s="9">
        <f t="shared" si="4"/>
        <v>0</v>
      </c>
    </row>
    <row r="66" spans="2:21" x14ac:dyDescent="0.3">
      <c r="B66" s="9">
        <v>60</v>
      </c>
      <c r="C66" s="9"/>
      <c r="D66" s="9"/>
      <c r="E66" s="9"/>
      <c r="F66" s="9"/>
      <c r="G66" s="9"/>
      <c r="H66" s="9"/>
      <c r="I66" s="9"/>
      <c r="J66" s="9"/>
      <c r="K66" s="9"/>
      <c r="L66" s="9"/>
      <c r="M66" s="12"/>
      <c r="N66" s="13"/>
      <c r="O66" s="12"/>
      <c r="P66" s="3"/>
      <c r="Q66" s="9"/>
      <c r="R66" s="9"/>
      <c r="S66" s="23"/>
      <c r="T66" s="23"/>
      <c r="U66" s="9">
        <f t="shared" si="4"/>
        <v>0</v>
      </c>
    </row>
    <row r="67" spans="2:21" x14ac:dyDescent="0.3">
      <c r="B67" s="9">
        <v>61</v>
      </c>
      <c r="C67" s="9"/>
      <c r="D67" s="9"/>
      <c r="E67" s="9"/>
      <c r="F67" s="9"/>
      <c r="G67" s="9"/>
      <c r="H67" s="9"/>
      <c r="I67" s="9"/>
      <c r="J67" s="9"/>
      <c r="K67" s="9"/>
      <c r="L67" s="9"/>
      <c r="M67" s="12"/>
      <c r="N67" s="13"/>
      <c r="O67" s="12"/>
      <c r="P67" s="3"/>
      <c r="Q67" s="9"/>
      <c r="R67" s="9"/>
      <c r="S67" s="23"/>
      <c r="T67" s="23"/>
      <c r="U67" s="9">
        <f t="shared" si="4"/>
        <v>0</v>
      </c>
    </row>
    <row r="68" spans="2:21" x14ac:dyDescent="0.3">
      <c r="B68" s="9">
        <v>62</v>
      </c>
      <c r="C68" s="9"/>
      <c r="D68" s="9"/>
      <c r="E68" s="9"/>
      <c r="F68" s="9"/>
      <c r="G68" s="9"/>
      <c r="H68" s="9"/>
      <c r="I68" s="9"/>
      <c r="J68" s="9"/>
      <c r="K68" s="9"/>
      <c r="L68" s="9"/>
      <c r="M68" s="12"/>
      <c r="N68" s="13"/>
      <c r="O68" s="12"/>
      <c r="P68" s="3"/>
      <c r="Q68" s="9"/>
      <c r="R68" s="9"/>
      <c r="S68" s="23"/>
      <c r="T68" s="23"/>
      <c r="U68" s="9">
        <f t="shared" si="4"/>
        <v>0</v>
      </c>
    </row>
    <row r="69" spans="2:21" x14ac:dyDescent="0.3">
      <c r="B69" s="9">
        <v>63</v>
      </c>
      <c r="C69" s="9"/>
      <c r="D69" s="9"/>
      <c r="E69" s="9"/>
      <c r="F69" s="9"/>
      <c r="G69" s="9"/>
      <c r="H69" s="9"/>
      <c r="I69" s="9"/>
      <c r="J69" s="9"/>
      <c r="K69" s="9"/>
      <c r="L69" s="9"/>
      <c r="M69" s="12"/>
      <c r="N69" s="13"/>
      <c r="O69" s="12"/>
      <c r="P69" s="3"/>
      <c r="Q69" s="9"/>
      <c r="R69" s="9"/>
      <c r="S69" s="23"/>
      <c r="T69" s="23"/>
      <c r="U69" s="9">
        <f t="shared" si="4"/>
        <v>0</v>
      </c>
    </row>
    <row r="70" spans="2:21" x14ac:dyDescent="0.3">
      <c r="B70" s="9">
        <v>64</v>
      </c>
      <c r="C70" s="9"/>
      <c r="D70" s="9"/>
      <c r="E70" s="9"/>
      <c r="F70" s="9"/>
      <c r="G70" s="9"/>
      <c r="H70" s="9"/>
      <c r="I70" s="9"/>
      <c r="J70" s="9"/>
      <c r="K70" s="9"/>
      <c r="L70" s="9"/>
      <c r="M70" s="12"/>
      <c r="N70" s="13"/>
      <c r="O70" s="12"/>
      <c r="P70" s="3"/>
      <c r="Q70" s="9"/>
      <c r="R70" s="9"/>
      <c r="S70" s="23"/>
      <c r="T70" s="23"/>
      <c r="U70" s="9">
        <f t="shared" si="4"/>
        <v>0</v>
      </c>
    </row>
    <row r="71" spans="2:21" x14ac:dyDescent="0.3">
      <c r="B71" s="9">
        <v>65</v>
      </c>
      <c r="C71" s="9"/>
      <c r="D71" s="9"/>
      <c r="E71" s="9"/>
      <c r="F71" s="9"/>
      <c r="G71" s="9"/>
      <c r="H71" s="9"/>
      <c r="I71" s="9"/>
      <c r="J71" s="9"/>
      <c r="K71" s="9"/>
      <c r="L71" s="9"/>
      <c r="M71" s="12"/>
      <c r="N71" s="13"/>
      <c r="O71" s="12"/>
      <c r="P71" s="3"/>
      <c r="Q71" s="9"/>
      <c r="R71" s="9"/>
      <c r="S71" s="23"/>
      <c r="T71" s="23"/>
      <c r="U71" s="9">
        <f t="shared" si="4"/>
        <v>0</v>
      </c>
    </row>
    <row r="72" spans="2:21" x14ac:dyDescent="0.3">
      <c r="B72" s="9">
        <v>66</v>
      </c>
      <c r="C72" s="9"/>
      <c r="D72" s="9"/>
      <c r="E72" s="9"/>
      <c r="F72" s="9"/>
      <c r="G72" s="9"/>
      <c r="H72" s="9"/>
      <c r="I72" s="9"/>
      <c r="J72" s="9"/>
      <c r="K72" s="9"/>
      <c r="L72" s="9"/>
      <c r="M72" s="12"/>
      <c r="N72" s="13"/>
      <c r="O72" s="12"/>
      <c r="P72" s="3"/>
      <c r="Q72" s="9"/>
      <c r="R72" s="9"/>
      <c r="S72" s="23"/>
      <c r="T72" s="23"/>
      <c r="U72" s="9">
        <f t="shared" si="4"/>
        <v>0</v>
      </c>
    </row>
    <row r="73" spans="2:21" x14ac:dyDescent="0.3">
      <c r="B73" s="9">
        <v>67</v>
      </c>
      <c r="C73" s="9"/>
      <c r="D73" s="9"/>
      <c r="E73" s="9"/>
      <c r="F73" s="9"/>
      <c r="G73" s="9"/>
      <c r="H73" s="9"/>
      <c r="I73" s="9"/>
      <c r="J73" s="9"/>
      <c r="K73" s="9"/>
      <c r="L73" s="9"/>
      <c r="M73" s="12"/>
      <c r="N73" s="13"/>
      <c r="O73" s="12"/>
      <c r="P73" s="3"/>
      <c r="Q73" s="9"/>
      <c r="R73" s="9"/>
      <c r="S73" s="23"/>
      <c r="T73" s="23"/>
      <c r="U73" s="9">
        <f t="shared" ref="U73:U106" si="5">(T73-S73)*1440</f>
        <v>0</v>
      </c>
    </row>
    <row r="74" spans="2:21" x14ac:dyDescent="0.3">
      <c r="B74" s="9">
        <v>68</v>
      </c>
      <c r="C74" s="9"/>
      <c r="D74" s="9"/>
      <c r="E74" s="9"/>
      <c r="F74" s="9"/>
      <c r="G74" s="9"/>
      <c r="H74" s="9"/>
      <c r="I74" s="9"/>
      <c r="J74" s="9"/>
      <c r="K74" s="9"/>
      <c r="L74" s="9"/>
      <c r="M74" s="12"/>
      <c r="N74" s="13"/>
      <c r="O74" s="12"/>
      <c r="P74" s="3"/>
      <c r="Q74" s="9"/>
      <c r="R74" s="9"/>
      <c r="S74" s="23"/>
      <c r="T74" s="23"/>
      <c r="U74" s="9">
        <f t="shared" si="5"/>
        <v>0</v>
      </c>
    </row>
    <row r="75" spans="2:21" x14ac:dyDescent="0.3">
      <c r="B75" s="9">
        <v>69</v>
      </c>
      <c r="C75" s="9"/>
      <c r="D75" s="9"/>
      <c r="E75" s="9"/>
      <c r="F75" s="9"/>
      <c r="G75" s="9"/>
      <c r="H75" s="9"/>
      <c r="I75" s="9"/>
      <c r="J75" s="9"/>
      <c r="K75" s="9"/>
      <c r="L75" s="9"/>
      <c r="M75" s="12"/>
      <c r="N75" s="13"/>
      <c r="O75" s="12"/>
      <c r="P75" s="3"/>
      <c r="Q75" s="9"/>
      <c r="R75" s="9"/>
      <c r="S75" s="23"/>
      <c r="T75" s="23"/>
      <c r="U75" s="9">
        <f t="shared" si="5"/>
        <v>0</v>
      </c>
    </row>
    <row r="76" spans="2:21" x14ac:dyDescent="0.3">
      <c r="B76" s="9">
        <v>70</v>
      </c>
      <c r="C76" s="9"/>
      <c r="D76" s="9"/>
      <c r="E76" s="9"/>
      <c r="F76" s="9"/>
      <c r="G76" s="9"/>
      <c r="H76" s="9"/>
      <c r="I76" s="9"/>
      <c r="J76" s="9"/>
      <c r="K76" s="9"/>
      <c r="L76" s="9"/>
      <c r="M76" s="12"/>
      <c r="N76" s="13"/>
      <c r="O76" s="12"/>
      <c r="P76" s="3"/>
      <c r="Q76" s="9"/>
      <c r="R76" s="9"/>
      <c r="S76" s="23"/>
      <c r="T76" s="23"/>
      <c r="U76" s="9">
        <f t="shared" si="5"/>
        <v>0</v>
      </c>
    </row>
    <row r="77" spans="2:21" x14ac:dyDescent="0.3">
      <c r="B77" s="9">
        <v>71</v>
      </c>
      <c r="C77" s="9"/>
      <c r="D77" s="9"/>
      <c r="E77" s="9"/>
      <c r="F77" s="9"/>
      <c r="G77" s="9"/>
      <c r="H77" s="9"/>
      <c r="I77" s="9"/>
      <c r="J77" s="9"/>
      <c r="K77" s="9"/>
      <c r="L77" s="9"/>
      <c r="M77" s="12"/>
      <c r="N77" s="13"/>
      <c r="O77" s="12"/>
      <c r="P77" s="3"/>
      <c r="Q77" s="9"/>
      <c r="R77" s="9"/>
      <c r="S77" s="23"/>
      <c r="T77" s="23"/>
      <c r="U77" s="9">
        <f t="shared" si="5"/>
        <v>0</v>
      </c>
    </row>
    <row r="78" spans="2:21" x14ac:dyDescent="0.3">
      <c r="B78" s="9">
        <v>72</v>
      </c>
      <c r="C78" s="9"/>
      <c r="D78" s="9"/>
      <c r="E78" s="9"/>
      <c r="F78" s="9"/>
      <c r="G78" s="9"/>
      <c r="H78" s="9"/>
      <c r="I78" s="9"/>
      <c r="J78" s="9"/>
      <c r="K78" s="9"/>
      <c r="L78" s="9"/>
      <c r="M78" s="12"/>
      <c r="N78" s="13"/>
      <c r="O78" s="12"/>
      <c r="P78" s="3"/>
      <c r="Q78" s="9"/>
      <c r="R78" s="9"/>
      <c r="S78" s="23"/>
      <c r="T78" s="23"/>
      <c r="U78" s="9">
        <f t="shared" si="5"/>
        <v>0</v>
      </c>
    </row>
    <row r="79" spans="2:21" x14ac:dyDescent="0.3">
      <c r="B79" s="9">
        <v>73</v>
      </c>
      <c r="C79" s="9"/>
      <c r="D79" s="9"/>
      <c r="E79" s="9"/>
      <c r="F79" s="9"/>
      <c r="G79" s="9"/>
      <c r="H79" s="9"/>
      <c r="I79" s="9"/>
      <c r="J79" s="9"/>
      <c r="K79" s="9"/>
      <c r="L79" s="9"/>
      <c r="M79" s="12"/>
      <c r="N79" s="13"/>
      <c r="O79" s="12"/>
      <c r="P79" s="3"/>
      <c r="Q79" s="9"/>
      <c r="R79" s="9"/>
      <c r="S79" s="23"/>
      <c r="T79" s="23"/>
      <c r="U79" s="9">
        <f t="shared" si="5"/>
        <v>0</v>
      </c>
    </row>
    <row r="80" spans="2:21" x14ac:dyDescent="0.3">
      <c r="B80" s="9">
        <v>74</v>
      </c>
      <c r="C80" s="9"/>
      <c r="D80" s="9"/>
      <c r="E80" s="9"/>
      <c r="F80" s="9"/>
      <c r="G80" s="9"/>
      <c r="H80" s="9"/>
      <c r="I80" s="9"/>
      <c r="J80" s="9"/>
      <c r="K80" s="9"/>
      <c r="L80" s="9"/>
      <c r="M80" s="12"/>
      <c r="N80" s="13"/>
      <c r="O80" s="12"/>
      <c r="P80" s="3"/>
      <c r="Q80" s="9"/>
      <c r="R80" s="9"/>
      <c r="S80" s="23"/>
      <c r="T80" s="23"/>
      <c r="U80" s="9">
        <f t="shared" si="5"/>
        <v>0</v>
      </c>
    </row>
    <row r="81" spans="2:21" x14ac:dyDescent="0.3">
      <c r="B81" s="9">
        <v>75</v>
      </c>
      <c r="C81" s="9"/>
      <c r="D81" s="9"/>
      <c r="E81" s="9"/>
      <c r="F81" s="9"/>
      <c r="G81" s="9"/>
      <c r="H81" s="9"/>
      <c r="I81" s="9"/>
      <c r="J81" s="9"/>
      <c r="K81" s="9"/>
      <c r="L81" s="9"/>
      <c r="M81" s="12"/>
      <c r="N81" s="13"/>
      <c r="O81" s="12"/>
      <c r="P81" s="3"/>
      <c r="Q81" s="9"/>
      <c r="R81" s="9"/>
      <c r="S81" s="23"/>
      <c r="T81" s="23"/>
      <c r="U81" s="9">
        <f t="shared" si="5"/>
        <v>0</v>
      </c>
    </row>
    <row r="82" spans="2:21" x14ac:dyDescent="0.3">
      <c r="B82" s="9">
        <v>76</v>
      </c>
      <c r="C82" s="9"/>
      <c r="D82" s="9"/>
      <c r="E82" s="9"/>
      <c r="F82" s="9"/>
      <c r="G82" s="9"/>
      <c r="H82" s="9"/>
      <c r="I82" s="9"/>
      <c r="J82" s="9"/>
      <c r="K82" s="9"/>
      <c r="L82" s="9"/>
      <c r="M82" s="12"/>
      <c r="N82" s="13"/>
      <c r="O82" s="12"/>
      <c r="P82" s="3"/>
      <c r="Q82" s="9"/>
      <c r="R82" s="9"/>
      <c r="S82" s="23"/>
      <c r="T82" s="23"/>
      <c r="U82" s="9">
        <f t="shared" si="5"/>
        <v>0</v>
      </c>
    </row>
    <row r="83" spans="2:21" x14ac:dyDescent="0.3">
      <c r="B83" s="9">
        <v>77</v>
      </c>
      <c r="C83" s="9"/>
      <c r="D83" s="9"/>
      <c r="E83" s="9"/>
      <c r="F83" s="9"/>
      <c r="G83" s="9"/>
      <c r="H83" s="9"/>
      <c r="I83" s="9"/>
      <c r="J83" s="9"/>
      <c r="K83" s="9"/>
      <c r="L83" s="9"/>
      <c r="M83" s="12"/>
      <c r="N83" s="13"/>
      <c r="O83" s="12"/>
      <c r="P83" s="3"/>
      <c r="Q83" s="9"/>
      <c r="R83" s="9"/>
      <c r="S83" s="23"/>
      <c r="T83" s="23"/>
      <c r="U83" s="9">
        <f t="shared" si="5"/>
        <v>0</v>
      </c>
    </row>
    <row r="84" spans="2:21" x14ac:dyDescent="0.3">
      <c r="B84" s="9">
        <v>78</v>
      </c>
      <c r="C84" s="9"/>
      <c r="D84" s="9"/>
      <c r="E84" s="9"/>
      <c r="F84" s="9"/>
      <c r="G84" s="9"/>
      <c r="H84" s="9"/>
      <c r="I84" s="9"/>
      <c r="J84" s="9"/>
      <c r="K84" s="9"/>
      <c r="L84" s="9"/>
      <c r="M84" s="12"/>
      <c r="N84" s="13"/>
      <c r="O84" s="12"/>
      <c r="P84" s="3"/>
      <c r="Q84" s="9"/>
      <c r="R84" s="9"/>
      <c r="S84" s="23"/>
      <c r="T84" s="23"/>
      <c r="U84" s="9">
        <f t="shared" si="5"/>
        <v>0</v>
      </c>
    </row>
    <row r="85" spans="2:21" x14ac:dyDescent="0.3">
      <c r="B85" s="9">
        <v>79</v>
      </c>
      <c r="C85" s="9"/>
      <c r="D85" s="9"/>
      <c r="E85" s="9"/>
      <c r="F85" s="9"/>
      <c r="G85" s="9"/>
      <c r="H85" s="9"/>
      <c r="I85" s="9"/>
      <c r="J85" s="9"/>
      <c r="K85" s="9"/>
      <c r="L85" s="9"/>
      <c r="M85" s="12"/>
      <c r="N85" s="13"/>
      <c r="O85" s="12"/>
      <c r="P85" s="3"/>
      <c r="Q85" s="9"/>
      <c r="R85" s="9"/>
      <c r="S85" s="23"/>
      <c r="T85" s="23"/>
      <c r="U85" s="9">
        <f t="shared" si="5"/>
        <v>0</v>
      </c>
    </row>
    <row r="86" spans="2:21" x14ac:dyDescent="0.3">
      <c r="B86" s="9">
        <v>80</v>
      </c>
      <c r="C86" s="9"/>
      <c r="D86" s="9"/>
      <c r="E86" s="9"/>
      <c r="F86" s="9"/>
      <c r="G86" s="9"/>
      <c r="H86" s="9"/>
      <c r="I86" s="9"/>
      <c r="J86" s="9"/>
      <c r="K86" s="9"/>
      <c r="L86" s="9"/>
      <c r="M86" s="12"/>
      <c r="N86" s="13"/>
      <c r="O86" s="12"/>
      <c r="P86" s="3"/>
      <c r="Q86" s="9"/>
      <c r="R86" s="9"/>
      <c r="S86" s="23"/>
      <c r="T86" s="23"/>
      <c r="U86" s="9">
        <f t="shared" si="5"/>
        <v>0</v>
      </c>
    </row>
    <row r="87" spans="2:21" x14ac:dyDescent="0.3">
      <c r="B87" s="9">
        <v>81</v>
      </c>
      <c r="C87" s="9"/>
      <c r="D87" s="9"/>
      <c r="E87" s="9"/>
      <c r="F87" s="9"/>
      <c r="G87" s="9"/>
      <c r="H87" s="9"/>
      <c r="I87" s="9"/>
      <c r="J87" s="9"/>
      <c r="K87" s="9"/>
      <c r="L87" s="9"/>
      <c r="M87" s="12"/>
      <c r="N87" s="13"/>
      <c r="O87" s="12"/>
      <c r="P87" s="3"/>
      <c r="Q87" s="9"/>
      <c r="R87" s="9"/>
      <c r="S87" s="23"/>
      <c r="T87" s="23"/>
      <c r="U87" s="9">
        <f t="shared" si="5"/>
        <v>0</v>
      </c>
    </row>
    <row r="88" spans="2:21" x14ac:dyDescent="0.3">
      <c r="B88" s="9">
        <v>82</v>
      </c>
      <c r="C88" s="9"/>
      <c r="D88" s="9"/>
      <c r="E88" s="9"/>
      <c r="F88" s="9"/>
      <c r="G88" s="9"/>
      <c r="H88" s="9"/>
      <c r="I88" s="9"/>
      <c r="J88" s="9"/>
      <c r="K88" s="9"/>
      <c r="L88" s="9"/>
      <c r="M88" s="12"/>
      <c r="N88" s="13"/>
      <c r="O88" s="12"/>
      <c r="P88" s="3"/>
      <c r="Q88" s="9"/>
      <c r="R88" s="9"/>
      <c r="S88" s="23"/>
      <c r="T88" s="23"/>
      <c r="U88" s="9">
        <f t="shared" si="5"/>
        <v>0</v>
      </c>
    </row>
    <row r="89" spans="2:21" x14ac:dyDescent="0.3">
      <c r="B89" s="9">
        <v>83</v>
      </c>
      <c r="C89" s="9"/>
      <c r="D89" s="9"/>
      <c r="E89" s="9"/>
      <c r="F89" s="9"/>
      <c r="G89" s="9"/>
      <c r="H89" s="9"/>
      <c r="I89" s="9"/>
      <c r="J89" s="9"/>
      <c r="K89" s="9"/>
      <c r="L89" s="9"/>
      <c r="M89" s="12"/>
      <c r="N89" s="13"/>
      <c r="O89" s="12"/>
      <c r="P89" s="3"/>
      <c r="Q89" s="9"/>
      <c r="R89" s="9"/>
      <c r="S89" s="23"/>
      <c r="T89" s="23"/>
      <c r="U89" s="9">
        <f t="shared" si="5"/>
        <v>0</v>
      </c>
    </row>
    <row r="90" spans="2:21" x14ac:dyDescent="0.3">
      <c r="B90" s="9">
        <v>84</v>
      </c>
      <c r="C90" s="9"/>
      <c r="D90" s="9"/>
      <c r="E90" s="9"/>
      <c r="F90" s="9"/>
      <c r="G90" s="9"/>
      <c r="H90" s="9"/>
      <c r="I90" s="9"/>
      <c r="J90" s="9"/>
      <c r="K90" s="9"/>
      <c r="L90" s="9"/>
      <c r="M90" s="12"/>
      <c r="N90" s="13"/>
      <c r="O90" s="12"/>
      <c r="P90" s="3"/>
      <c r="Q90" s="9"/>
      <c r="R90" s="9"/>
      <c r="S90" s="23"/>
      <c r="T90" s="23"/>
      <c r="U90" s="9">
        <f t="shared" si="5"/>
        <v>0</v>
      </c>
    </row>
    <row r="91" spans="2:21" x14ac:dyDescent="0.3">
      <c r="B91" s="9">
        <v>85</v>
      </c>
      <c r="C91" s="9"/>
      <c r="D91" s="9"/>
      <c r="E91" s="9"/>
      <c r="F91" s="9"/>
      <c r="G91" s="9"/>
      <c r="H91" s="9"/>
      <c r="I91" s="9"/>
      <c r="J91" s="9"/>
      <c r="K91" s="9"/>
      <c r="L91" s="9"/>
      <c r="M91" s="12"/>
      <c r="N91" s="13"/>
      <c r="O91" s="12"/>
      <c r="P91" s="3"/>
      <c r="Q91" s="9"/>
      <c r="R91" s="9"/>
      <c r="S91" s="23"/>
      <c r="T91" s="23"/>
      <c r="U91" s="9">
        <f t="shared" si="5"/>
        <v>0</v>
      </c>
    </row>
    <row r="92" spans="2:21" x14ac:dyDescent="0.3">
      <c r="B92" s="9">
        <v>86</v>
      </c>
      <c r="C92" s="9"/>
      <c r="D92" s="9"/>
      <c r="E92" s="9"/>
      <c r="F92" s="9"/>
      <c r="G92" s="9"/>
      <c r="H92" s="9"/>
      <c r="I92" s="9"/>
      <c r="J92" s="9"/>
      <c r="K92" s="9"/>
      <c r="L92" s="9"/>
      <c r="M92" s="12"/>
      <c r="N92" s="13"/>
      <c r="O92" s="12"/>
      <c r="P92" s="3"/>
      <c r="Q92" s="9"/>
      <c r="R92" s="9"/>
      <c r="S92" s="23"/>
      <c r="T92" s="23"/>
      <c r="U92" s="9">
        <f t="shared" si="5"/>
        <v>0</v>
      </c>
    </row>
    <row r="93" spans="2:21" x14ac:dyDescent="0.3">
      <c r="B93" s="9">
        <v>87</v>
      </c>
      <c r="C93" s="9"/>
      <c r="D93" s="9"/>
      <c r="E93" s="9"/>
      <c r="F93" s="9"/>
      <c r="G93" s="9"/>
      <c r="H93" s="9"/>
      <c r="I93" s="9"/>
      <c r="J93" s="9"/>
      <c r="K93" s="9"/>
      <c r="L93" s="9"/>
      <c r="M93" s="12"/>
      <c r="N93" s="13"/>
      <c r="O93" s="12"/>
      <c r="P93" s="3"/>
      <c r="Q93" s="9"/>
      <c r="R93" s="9"/>
      <c r="S93" s="23"/>
      <c r="T93" s="23"/>
      <c r="U93" s="9">
        <f t="shared" si="5"/>
        <v>0</v>
      </c>
    </row>
    <row r="94" spans="2:21" x14ac:dyDescent="0.3">
      <c r="B94" s="9">
        <v>88</v>
      </c>
      <c r="C94" s="9"/>
      <c r="D94" s="9"/>
      <c r="E94" s="9"/>
      <c r="F94" s="9"/>
      <c r="G94" s="9"/>
      <c r="H94" s="9"/>
      <c r="I94" s="9"/>
      <c r="J94" s="9"/>
      <c r="K94" s="9"/>
      <c r="L94" s="9"/>
      <c r="M94" s="12"/>
      <c r="N94" s="13"/>
      <c r="O94" s="12"/>
      <c r="P94" s="3"/>
      <c r="Q94" s="9"/>
      <c r="R94" s="9"/>
      <c r="S94" s="23"/>
      <c r="T94" s="23"/>
      <c r="U94" s="9">
        <f t="shared" si="5"/>
        <v>0</v>
      </c>
    </row>
    <row r="95" spans="2:21" x14ac:dyDescent="0.3">
      <c r="B95" s="9">
        <v>89</v>
      </c>
      <c r="C95" s="9"/>
      <c r="D95" s="9"/>
      <c r="E95" s="9"/>
      <c r="F95" s="9"/>
      <c r="G95" s="9"/>
      <c r="H95" s="9"/>
      <c r="I95" s="9"/>
      <c r="J95" s="9"/>
      <c r="K95" s="9"/>
      <c r="L95" s="9"/>
      <c r="M95" s="12"/>
      <c r="N95" s="13"/>
      <c r="O95" s="12"/>
      <c r="P95" s="3"/>
      <c r="Q95" s="9"/>
      <c r="R95" s="9"/>
      <c r="S95" s="23"/>
      <c r="T95" s="23"/>
      <c r="U95" s="9">
        <f t="shared" si="5"/>
        <v>0</v>
      </c>
    </row>
    <row r="96" spans="2:21" x14ac:dyDescent="0.3">
      <c r="B96" s="9">
        <v>90</v>
      </c>
      <c r="C96" s="9"/>
      <c r="D96" s="9"/>
      <c r="E96" s="9"/>
      <c r="F96" s="9"/>
      <c r="G96" s="9"/>
      <c r="H96" s="9"/>
      <c r="I96" s="9"/>
      <c r="J96" s="9"/>
      <c r="K96" s="9"/>
      <c r="L96" s="9"/>
      <c r="M96" s="12"/>
      <c r="N96" s="13"/>
      <c r="O96" s="12"/>
      <c r="P96" s="3"/>
      <c r="Q96" s="9"/>
      <c r="R96" s="9"/>
      <c r="S96" s="23"/>
      <c r="T96" s="23"/>
      <c r="U96" s="9">
        <f t="shared" si="5"/>
        <v>0</v>
      </c>
    </row>
    <row r="97" spans="2:21" x14ac:dyDescent="0.3">
      <c r="B97" s="9">
        <v>91</v>
      </c>
      <c r="C97" s="9"/>
      <c r="D97" s="9"/>
      <c r="E97" s="9"/>
      <c r="F97" s="9"/>
      <c r="G97" s="9"/>
      <c r="H97" s="9"/>
      <c r="I97" s="9"/>
      <c r="J97" s="9"/>
      <c r="K97" s="9"/>
      <c r="L97" s="9"/>
      <c r="M97" s="12"/>
      <c r="N97" s="13"/>
      <c r="O97" s="12"/>
      <c r="P97" s="3"/>
      <c r="Q97" s="9"/>
      <c r="R97" s="9"/>
      <c r="S97" s="23"/>
      <c r="T97" s="23"/>
      <c r="U97" s="9">
        <f t="shared" si="5"/>
        <v>0</v>
      </c>
    </row>
    <row r="98" spans="2:21" x14ac:dyDescent="0.3">
      <c r="B98" s="9">
        <v>92</v>
      </c>
      <c r="C98" s="9"/>
      <c r="D98" s="9"/>
      <c r="E98" s="9"/>
      <c r="F98" s="9"/>
      <c r="G98" s="9"/>
      <c r="H98" s="9"/>
      <c r="I98" s="9"/>
      <c r="J98" s="9"/>
      <c r="K98" s="9"/>
      <c r="L98" s="9"/>
      <c r="M98" s="12"/>
      <c r="N98" s="13"/>
      <c r="O98" s="12"/>
      <c r="P98" s="3"/>
      <c r="Q98" s="9"/>
      <c r="R98" s="9"/>
      <c r="S98" s="23"/>
      <c r="T98" s="23"/>
      <c r="U98" s="9">
        <f t="shared" si="5"/>
        <v>0</v>
      </c>
    </row>
    <row r="99" spans="2:21" x14ac:dyDescent="0.3">
      <c r="B99" s="9">
        <v>93</v>
      </c>
      <c r="C99" s="9"/>
      <c r="D99" s="9"/>
      <c r="E99" s="9"/>
      <c r="F99" s="9"/>
      <c r="G99" s="9"/>
      <c r="H99" s="9"/>
      <c r="I99" s="9"/>
      <c r="J99" s="9"/>
      <c r="K99" s="9"/>
      <c r="L99" s="9"/>
      <c r="M99" s="12"/>
      <c r="N99" s="13"/>
      <c r="O99" s="12"/>
      <c r="P99" s="3"/>
      <c r="Q99" s="9"/>
      <c r="R99" s="9"/>
      <c r="S99" s="23"/>
      <c r="T99" s="23"/>
      <c r="U99" s="9">
        <f t="shared" si="5"/>
        <v>0</v>
      </c>
    </row>
    <row r="100" spans="2:21" x14ac:dyDescent="0.3">
      <c r="B100" s="9">
        <v>94</v>
      </c>
      <c r="C100" s="9"/>
      <c r="D100" s="9"/>
      <c r="E100" s="9"/>
      <c r="F100" s="9"/>
      <c r="G100" s="9"/>
      <c r="H100" s="9"/>
      <c r="I100" s="9"/>
      <c r="J100" s="9"/>
      <c r="K100" s="9"/>
      <c r="L100" s="9"/>
      <c r="M100" s="12"/>
      <c r="N100" s="13"/>
      <c r="O100" s="12"/>
      <c r="P100" s="3"/>
      <c r="Q100" s="9"/>
      <c r="R100" s="9"/>
      <c r="S100" s="23"/>
      <c r="T100" s="23"/>
      <c r="U100" s="9">
        <f t="shared" si="5"/>
        <v>0</v>
      </c>
    </row>
    <row r="101" spans="2:21" x14ac:dyDescent="0.3">
      <c r="B101" s="9">
        <v>95</v>
      </c>
      <c r="C101" s="9"/>
      <c r="D101" s="9"/>
      <c r="E101" s="9"/>
      <c r="F101" s="9"/>
      <c r="G101" s="9"/>
      <c r="H101" s="9"/>
      <c r="I101" s="9"/>
      <c r="J101" s="9"/>
      <c r="K101" s="9"/>
      <c r="L101" s="9"/>
      <c r="M101" s="12"/>
      <c r="N101" s="13"/>
      <c r="O101" s="12"/>
      <c r="P101" s="3"/>
      <c r="Q101" s="9"/>
      <c r="R101" s="9"/>
      <c r="S101" s="23"/>
      <c r="T101" s="23"/>
      <c r="U101" s="9">
        <f t="shared" si="5"/>
        <v>0</v>
      </c>
    </row>
    <row r="102" spans="2:21" x14ac:dyDescent="0.3">
      <c r="B102" s="9">
        <v>96</v>
      </c>
      <c r="C102" s="9"/>
      <c r="D102" s="9"/>
      <c r="E102" s="9"/>
      <c r="F102" s="9"/>
      <c r="G102" s="9"/>
      <c r="H102" s="9"/>
      <c r="I102" s="9"/>
      <c r="J102" s="9"/>
      <c r="K102" s="9"/>
      <c r="L102" s="9"/>
      <c r="M102" s="12"/>
      <c r="N102" s="13"/>
      <c r="O102" s="12"/>
      <c r="P102" s="3"/>
      <c r="Q102" s="9"/>
      <c r="R102" s="9"/>
      <c r="S102" s="23"/>
      <c r="T102" s="23"/>
      <c r="U102" s="9">
        <f t="shared" si="5"/>
        <v>0</v>
      </c>
    </row>
    <row r="103" spans="2:21" x14ac:dyDescent="0.3">
      <c r="B103" s="9">
        <v>97</v>
      </c>
      <c r="C103" s="9"/>
      <c r="D103" s="9"/>
      <c r="E103" s="9"/>
      <c r="F103" s="9"/>
      <c r="G103" s="9"/>
      <c r="H103" s="9"/>
      <c r="I103" s="9"/>
      <c r="J103" s="9"/>
      <c r="K103" s="9"/>
      <c r="L103" s="9"/>
      <c r="M103" s="12"/>
      <c r="N103" s="13"/>
      <c r="O103" s="12"/>
      <c r="P103" s="3"/>
      <c r="Q103" s="9"/>
      <c r="R103" s="9"/>
      <c r="S103" s="23"/>
      <c r="T103" s="23"/>
      <c r="U103" s="9">
        <f t="shared" si="5"/>
        <v>0</v>
      </c>
    </row>
    <row r="104" spans="2:21" x14ac:dyDescent="0.3">
      <c r="B104" s="9">
        <v>98</v>
      </c>
      <c r="C104" s="9"/>
      <c r="D104" s="9"/>
      <c r="E104" s="9"/>
      <c r="F104" s="9"/>
      <c r="G104" s="9"/>
      <c r="H104" s="9"/>
      <c r="I104" s="9"/>
      <c r="J104" s="9"/>
      <c r="K104" s="9"/>
      <c r="L104" s="9"/>
      <c r="M104" s="12"/>
      <c r="N104" s="13"/>
      <c r="O104" s="12"/>
      <c r="P104" s="3"/>
      <c r="Q104" s="9"/>
      <c r="R104" s="9"/>
      <c r="S104" s="23"/>
      <c r="T104" s="23"/>
      <c r="U104" s="9">
        <f t="shared" si="5"/>
        <v>0</v>
      </c>
    </row>
    <row r="105" spans="2:21" x14ac:dyDescent="0.3">
      <c r="B105" s="9">
        <v>99</v>
      </c>
      <c r="C105" s="9"/>
      <c r="D105" s="9"/>
      <c r="E105" s="9"/>
      <c r="F105" s="9"/>
      <c r="G105" s="9"/>
      <c r="H105" s="9"/>
      <c r="I105" s="9"/>
      <c r="J105" s="9"/>
      <c r="K105" s="9"/>
      <c r="L105" s="9"/>
      <c r="M105" s="12"/>
      <c r="N105" s="13"/>
      <c r="O105" s="12"/>
      <c r="P105" s="3"/>
      <c r="Q105" s="9"/>
      <c r="R105" s="9"/>
      <c r="S105" s="23"/>
      <c r="T105" s="23"/>
      <c r="U105" s="9">
        <f t="shared" si="5"/>
        <v>0</v>
      </c>
    </row>
    <row r="106" spans="2:21" x14ac:dyDescent="0.3">
      <c r="B106" s="9">
        <v>100</v>
      </c>
      <c r="C106" s="9"/>
      <c r="D106" s="9"/>
      <c r="E106" s="9"/>
      <c r="F106" s="9"/>
      <c r="G106" s="9"/>
      <c r="H106" s="9"/>
      <c r="I106" s="9"/>
      <c r="J106" s="9"/>
      <c r="K106" s="9"/>
      <c r="L106" s="9"/>
      <c r="M106" s="12"/>
      <c r="N106" s="13"/>
      <c r="O106" s="12"/>
      <c r="P106" s="3"/>
      <c r="Q106" s="9"/>
      <c r="R106" s="9"/>
      <c r="S106" s="23"/>
      <c r="T106" s="23"/>
      <c r="U106" s="9">
        <f t="shared" si="5"/>
        <v>0</v>
      </c>
    </row>
  </sheetData>
  <pageMargins left="0.7" right="0.7" top="0.75" bottom="0.75" header="0.3" footer="0.3"/>
  <ignoredErrors>
    <ignoredError sqref="O8" formula="1"/>
  </ignoredErrors>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xr:uid="{DA331A73-B641-416C-9F62-373BC226A3E6}">
          <x14:formula1>
            <xm:f>Listas!$B$4:$B$23</xm:f>
          </x14:formula1>
          <xm:sqref>D7:D106</xm:sqref>
        </x14:dataValidation>
        <x14:dataValidation type="list" allowBlank="1" showInputMessage="1" showErrorMessage="1" xr:uid="{72AA1C8C-B5E4-4FAE-A499-6D4781B18324}">
          <x14:formula1>
            <xm:f>Listas!$D$4:$D$17</xm:f>
          </x14:formula1>
          <xm:sqref>F7:F106</xm:sqref>
        </x14:dataValidation>
        <x14:dataValidation type="list" allowBlank="1" showInputMessage="1" showErrorMessage="1" xr:uid="{F05EDA8D-ACE4-4B7C-A1DF-FD467F343769}">
          <x14:formula1>
            <xm:f>Listas!$F$4:$F$9</xm:f>
          </x14:formula1>
          <xm:sqref>G7:G106</xm:sqref>
        </x14:dataValidation>
        <x14:dataValidation type="list" allowBlank="1" showInputMessage="1" showErrorMessage="1" xr:uid="{A352301F-A216-46F1-A771-A27FC2FADBEE}">
          <x14:formula1>
            <xm:f>Listas!$H$4:$H$6</xm:f>
          </x14:formula1>
          <xm:sqref>K7:K106</xm:sqref>
        </x14:dataValidation>
        <x14:dataValidation type="list" allowBlank="1" showInputMessage="1" showErrorMessage="1" xr:uid="{5C3BEDD7-B0CB-4457-BBF7-174FD4ABF1EA}">
          <x14:formula1>
            <xm:f>Listas!$J$4:$J$7</xm:f>
          </x14:formula1>
          <xm:sqref>L7:L106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43B8A-6997-4648-AE71-44BF24A1A73E}">
  <dimension ref="B3:J24"/>
  <sheetViews>
    <sheetView topLeftCell="A10" workbookViewId="0">
      <selection activeCell="B25" sqref="B25"/>
    </sheetView>
  </sheetViews>
  <sheetFormatPr baseColWidth="10" defaultRowHeight="14.4" x14ac:dyDescent="0.3"/>
  <cols>
    <col min="2" max="2" width="14.5546875" bestFit="1" customWidth="1"/>
    <col min="4" max="4" width="15.5546875" bestFit="1" customWidth="1"/>
  </cols>
  <sheetData>
    <row r="3" spans="2:10" x14ac:dyDescent="0.3">
      <c r="B3" t="s">
        <v>18</v>
      </c>
      <c r="D3" t="s">
        <v>53</v>
      </c>
      <c r="F3" t="s">
        <v>5</v>
      </c>
      <c r="H3" t="s">
        <v>9</v>
      </c>
      <c r="J3" t="s">
        <v>10</v>
      </c>
    </row>
    <row r="4" spans="2:10" x14ac:dyDescent="0.3">
      <c r="B4" s="10" t="s">
        <v>19</v>
      </c>
      <c r="D4" s="10" t="s">
        <v>39</v>
      </c>
      <c r="F4" t="s">
        <v>54</v>
      </c>
      <c r="H4" t="s">
        <v>60</v>
      </c>
      <c r="J4" t="s">
        <v>63</v>
      </c>
    </row>
    <row r="5" spans="2:10" x14ac:dyDescent="0.3">
      <c r="B5" s="11" t="s">
        <v>20</v>
      </c>
      <c r="D5" s="11" t="s">
        <v>40</v>
      </c>
      <c r="F5" t="s">
        <v>55</v>
      </c>
      <c r="H5" t="s">
        <v>61</v>
      </c>
      <c r="J5" t="s">
        <v>64</v>
      </c>
    </row>
    <row r="6" spans="2:10" x14ac:dyDescent="0.3">
      <c r="B6" s="10" t="s">
        <v>21</v>
      </c>
      <c r="D6" s="10" t="s">
        <v>41</v>
      </c>
      <c r="F6" t="s">
        <v>56</v>
      </c>
      <c r="H6" t="s">
        <v>62</v>
      </c>
      <c r="J6" t="s">
        <v>65</v>
      </c>
    </row>
    <row r="7" spans="2:10" x14ac:dyDescent="0.3">
      <c r="B7" s="11" t="s">
        <v>22</v>
      </c>
      <c r="D7" s="11" t="s">
        <v>42</v>
      </c>
      <c r="F7" t="s">
        <v>57</v>
      </c>
      <c r="J7" t="s">
        <v>66</v>
      </c>
    </row>
    <row r="8" spans="2:10" x14ac:dyDescent="0.3">
      <c r="B8" s="10" t="s">
        <v>23</v>
      </c>
      <c r="D8" s="10" t="s">
        <v>43</v>
      </c>
      <c r="F8" t="s">
        <v>58</v>
      </c>
    </row>
    <row r="9" spans="2:10" x14ac:dyDescent="0.3">
      <c r="B9" s="11" t="s">
        <v>24</v>
      </c>
      <c r="D9" s="11" t="s">
        <v>44</v>
      </c>
      <c r="F9" t="s">
        <v>59</v>
      </c>
    </row>
    <row r="10" spans="2:10" x14ac:dyDescent="0.3">
      <c r="B10" s="10" t="s">
        <v>25</v>
      </c>
      <c r="D10" s="10" t="s">
        <v>45</v>
      </c>
    </row>
    <row r="11" spans="2:10" x14ac:dyDescent="0.3">
      <c r="B11" s="11" t="s">
        <v>26</v>
      </c>
      <c r="D11" s="11" t="s">
        <v>46</v>
      </c>
    </row>
    <row r="12" spans="2:10" x14ac:dyDescent="0.3">
      <c r="B12" s="10" t="s">
        <v>27</v>
      </c>
      <c r="D12" s="10" t="s">
        <v>47</v>
      </c>
    </row>
    <row r="13" spans="2:10" x14ac:dyDescent="0.3">
      <c r="B13" s="11" t="s">
        <v>28</v>
      </c>
      <c r="D13" s="11" t="s">
        <v>48</v>
      </c>
    </row>
    <row r="14" spans="2:10" x14ac:dyDescent="0.3">
      <c r="B14" s="10" t="s">
        <v>29</v>
      </c>
      <c r="D14" s="10" t="s">
        <v>49</v>
      </c>
    </row>
    <row r="15" spans="2:10" x14ac:dyDescent="0.3">
      <c r="B15" s="11" t="s">
        <v>30</v>
      </c>
      <c r="D15" s="11" t="s">
        <v>50</v>
      </c>
    </row>
    <row r="16" spans="2:10" x14ac:dyDescent="0.3">
      <c r="B16" s="10" t="s">
        <v>31</v>
      </c>
      <c r="D16" s="10" t="s">
        <v>51</v>
      </c>
    </row>
    <row r="17" spans="2:4" x14ac:dyDescent="0.3">
      <c r="B17" s="11" t="s">
        <v>32</v>
      </c>
      <c r="D17" s="11" t="s">
        <v>52</v>
      </c>
    </row>
    <row r="18" spans="2:4" x14ac:dyDescent="0.3">
      <c r="B18" s="10" t="s">
        <v>33</v>
      </c>
    </row>
    <row r="19" spans="2:4" x14ac:dyDescent="0.3">
      <c r="B19" s="11" t="s">
        <v>34</v>
      </c>
    </row>
    <row r="20" spans="2:4" x14ac:dyDescent="0.3">
      <c r="B20" s="10" t="s">
        <v>35</v>
      </c>
    </row>
    <row r="21" spans="2:4" x14ac:dyDescent="0.3">
      <c r="B21" s="11" t="s">
        <v>36</v>
      </c>
    </row>
    <row r="22" spans="2:4" x14ac:dyDescent="0.3">
      <c r="B22" s="10" t="s">
        <v>37</v>
      </c>
    </row>
    <row r="23" spans="2:4" x14ac:dyDescent="0.3">
      <c r="B23" s="11" t="s">
        <v>38</v>
      </c>
    </row>
    <row r="24" spans="2:4" x14ac:dyDescent="0.3">
      <c r="B24" s="22" t="s">
        <v>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129B9-3F01-401A-B666-8D3C84FAEB5B}">
  <dimension ref="A1:AB120"/>
  <sheetViews>
    <sheetView topLeftCell="A47" zoomScale="80" zoomScaleNormal="80" workbookViewId="0">
      <selection activeCell="W13" sqref="W13"/>
    </sheetView>
  </sheetViews>
  <sheetFormatPr baseColWidth="10" defaultColWidth="11.44140625" defaultRowHeight="14.4" x14ac:dyDescent="0.3"/>
  <cols>
    <col min="1" max="1" width="11.44140625" customWidth="1"/>
    <col min="2" max="2" width="5" customWidth="1"/>
    <col min="3" max="3" width="10" bestFit="1" customWidth="1"/>
    <col min="4" max="4" width="18.109375" bestFit="1" customWidth="1"/>
    <col min="5" max="5" width="19.88671875" bestFit="1" customWidth="1"/>
    <col min="8" max="8" width="18.109375" bestFit="1" customWidth="1"/>
    <col min="9" max="9" width="17" bestFit="1" customWidth="1"/>
    <col min="11" max="12" width="18.109375" bestFit="1" customWidth="1"/>
    <col min="13" max="13" width="19.88671875" bestFit="1" customWidth="1"/>
    <col min="14" max="14" width="12.5546875" bestFit="1" customWidth="1"/>
    <col min="15" max="15" width="16.6640625" bestFit="1" customWidth="1"/>
    <col min="17" max="17" width="18.109375" bestFit="1" customWidth="1"/>
    <col min="18" max="18" width="14.6640625" bestFit="1" customWidth="1"/>
    <col min="19" max="19" width="20.109375" bestFit="1" customWidth="1"/>
    <col min="20" max="20" width="14.6640625" bestFit="1" customWidth="1"/>
    <col min="23" max="23" width="13.109375" bestFit="1" customWidth="1"/>
    <col min="24" max="24" width="15.44140625" customWidth="1"/>
    <col min="25" max="25" width="18.109375" bestFit="1" customWidth="1"/>
    <col min="26" max="26" width="19.44140625" bestFit="1" customWidth="1"/>
  </cols>
  <sheetData>
    <row r="1" spans="1:27" x14ac:dyDescent="0.3">
      <c r="A1" s="17"/>
      <c r="B1" s="17"/>
      <c r="C1" s="17"/>
      <c r="D1" s="17"/>
      <c r="E1" s="17"/>
      <c r="F1" s="17"/>
      <c r="G1" s="17"/>
      <c r="H1" s="17"/>
      <c r="I1" s="17"/>
      <c r="J1" s="17"/>
      <c r="K1" s="17"/>
      <c r="L1" s="17"/>
      <c r="M1" s="17"/>
      <c r="N1" s="17"/>
      <c r="O1" s="17"/>
      <c r="P1" s="17"/>
      <c r="Q1" s="17"/>
      <c r="R1" s="17"/>
      <c r="S1" s="17"/>
      <c r="T1" s="17"/>
      <c r="U1" s="17"/>
      <c r="V1" s="17"/>
      <c r="W1" s="17"/>
      <c r="X1" s="17"/>
      <c r="Y1" s="17"/>
      <c r="Z1" s="17"/>
      <c r="AA1" s="17"/>
    </row>
    <row r="2" spans="1:27" ht="24" customHeight="1" x14ac:dyDescent="0.5">
      <c r="A2" s="17"/>
      <c r="B2" s="17"/>
      <c r="C2" s="18" t="s">
        <v>67</v>
      </c>
      <c r="D2" s="17"/>
      <c r="E2" s="17"/>
      <c r="F2" s="17"/>
      <c r="G2" s="17"/>
      <c r="H2" s="17"/>
      <c r="I2" s="17"/>
      <c r="J2" s="17"/>
      <c r="K2" s="17"/>
      <c r="L2" s="17"/>
      <c r="M2" s="17"/>
      <c r="N2" s="17"/>
      <c r="O2" s="17"/>
      <c r="P2" s="17"/>
      <c r="Q2" s="17"/>
      <c r="R2" s="17"/>
      <c r="S2" s="17"/>
      <c r="T2" s="17"/>
      <c r="U2" s="17"/>
      <c r="V2" s="17"/>
      <c r="W2" s="17"/>
      <c r="X2" s="17"/>
      <c r="Y2" s="17"/>
      <c r="Z2" s="17"/>
      <c r="AA2" s="17"/>
    </row>
    <row r="3" spans="1:27" ht="24" customHeight="1" x14ac:dyDescent="0.5">
      <c r="A3" s="17"/>
      <c r="B3" s="17"/>
      <c r="C3" s="18"/>
      <c r="D3" s="17"/>
      <c r="E3" s="17"/>
      <c r="F3" s="17"/>
      <c r="G3" s="17"/>
      <c r="H3" s="17"/>
      <c r="I3" s="17"/>
      <c r="J3" s="17"/>
      <c r="K3" s="17"/>
      <c r="L3" s="17"/>
      <c r="M3" s="17"/>
      <c r="N3" s="17"/>
      <c r="O3" s="17"/>
      <c r="P3" s="17"/>
      <c r="Q3" s="17"/>
      <c r="R3" s="17"/>
      <c r="S3" s="17"/>
      <c r="T3" s="17"/>
      <c r="U3" s="17"/>
      <c r="V3" s="17"/>
      <c r="W3" s="17"/>
      <c r="X3" s="17"/>
      <c r="Y3" s="17"/>
      <c r="Z3" s="17"/>
      <c r="AA3" s="17"/>
    </row>
    <row r="4" spans="1:27" x14ac:dyDescent="0.3">
      <c r="A4" s="17"/>
      <c r="B4" s="17"/>
      <c r="C4" s="17"/>
      <c r="D4" s="17"/>
      <c r="E4" s="17"/>
      <c r="F4" s="17"/>
      <c r="G4" s="17"/>
      <c r="H4" s="17"/>
      <c r="I4" s="17"/>
      <c r="J4" s="17"/>
      <c r="K4" s="17"/>
      <c r="L4" s="17"/>
      <c r="M4" s="17"/>
      <c r="N4" s="17"/>
      <c r="O4" s="17"/>
      <c r="P4" s="17"/>
      <c r="Q4" s="17"/>
      <c r="R4" s="17"/>
      <c r="S4" s="17"/>
      <c r="T4" s="17"/>
      <c r="U4" s="17"/>
      <c r="V4" s="17"/>
      <c r="W4" s="17"/>
      <c r="X4" s="17"/>
      <c r="Y4" s="17"/>
      <c r="Z4" s="17"/>
      <c r="AA4" s="17"/>
    </row>
    <row r="5" spans="1:27" x14ac:dyDescent="0.3">
      <c r="A5" s="17"/>
      <c r="B5" s="17"/>
      <c r="C5" s="17"/>
      <c r="D5" s="17"/>
      <c r="E5" s="17"/>
      <c r="F5" s="17"/>
      <c r="G5" s="17"/>
      <c r="H5" s="17"/>
      <c r="I5" s="17"/>
      <c r="J5" s="17"/>
      <c r="K5" s="17"/>
      <c r="L5" s="17"/>
      <c r="M5" s="17"/>
      <c r="N5" s="17"/>
      <c r="O5" s="17"/>
      <c r="P5" s="17"/>
      <c r="Q5" s="17"/>
      <c r="R5" s="17"/>
      <c r="S5" s="17"/>
      <c r="T5" s="17"/>
      <c r="U5" s="17"/>
      <c r="V5" s="17"/>
      <c r="W5" s="17"/>
      <c r="X5" s="17"/>
      <c r="Y5" s="17"/>
      <c r="Z5" s="17"/>
      <c r="AA5" s="17"/>
    </row>
    <row r="6" spans="1:27" x14ac:dyDescent="0.3">
      <c r="A6" s="17"/>
      <c r="B6" s="17"/>
      <c r="C6" s="17"/>
      <c r="D6" s="17"/>
      <c r="E6" s="17"/>
      <c r="F6" s="17"/>
      <c r="G6" s="17"/>
      <c r="H6" s="17"/>
      <c r="I6" s="17"/>
      <c r="J6" s="17"/>
      <c r="K6" s="17"/>
      <c r="L6" s="17"/>
      <c r="M6" s="17"/>
      <c r="N6" s="17"/>
      <c r="O6" s="17"/>
      <c r="P6" s="17"/>
      <c r="Q6" s="17"/>
      <c r="R6" s="17"/>
      <c r="S6" s="17"/>
      <c r="T6" s="17"/>
      <c r="U6" s="17"/>
      <c r="V6" s="17"/>
      <c r="W6" s="17"/>
      <c r="X6" s="17"/>
      <c r="Y6" s="17"/>
      <c r="Z6" s="17"/>
      <c r="AA6" s="17"/>
    </row>
    <row r="7" spans="1:27" x14ac:dyDescent="0.3">
      <c r="A7" s="17"/>
      <c r="B7" s="17"/>
      <c r="C7" s="17"/>
      <c r="D7" s="17"/>
      <c r="E7" s="17"/>
      <c r="F7" s="17"/>
      <c r="G7" s="17"/>
      <c r="H7" s="17"/>
      <c r="I7" s="17"/>
      <c r="J7" s="17"/>
      <c r="K7" s="17"/>
      <c r="L7" s="17"/>
      <c r="M7" s="17"/>
      <c r="N7" s="17"/>
      <c r="O7" s="17"/>
      <c r="P7" s="17"/>
      <c r="Q7" s="17"/>
      <c r="R7" s="17"/>
      <c r="S7" s="17"/>
      <c r="T7" s="17"/>
      <c r="U7" s="17"/>
      <c r="V7" s="17"/>
      <c r="W7" s="17"/>
      <c r="X7" s="17"/>
      <c r="Y7" s="17"/>
      <c r="Z7" s="17"/>
      <c r="AA7" s="17"/>
    </row>
    <row r="8" spans="1:27" x14ac:dyDescent="0.3">
      <c r="A8" s="17"/>
      <c r="B8" s="17"/>
      <c r="C8" s="17"/>
      <c r="D8" s="17"/>
      <c r="E8" s="17"/>
      <c r="F8" s="17"/>
      <c r="G8" s="17"/>
      <c r="H8" s="17"/>
      <c r="I8" s="17"/>
      <c r="J8" s="17"/>
      <c r="K8" s="17"/>
      <c r="L8" s="17"/>
      <c r="M8" s="17"/>
      <c r="N8" s="17"/>
      <c r="O8" s="17"/>
      <c r="P8" s="17"/>
      <c r="Q8" s="17"/>
      <c r="R8" s="17"/>
      <c r="S8" s="17"/>
      <c r="T8" s="17"/>
      <c r="U8" s="17"/>
      <c r="V8" s="17"/>
      <c r="W8" s="17"/>
      <c r="X8" s="17"/>
      <c r="Y8" s="17"/>
      <c r="Z8" s="17"/>
      <c r="AA8" s="17"/>
    </row>
    <row r="9" spans="1:27" x14ac:dyDescent="0.3">
      <c r="A9" s="17"/>
      <c r="B9" s="17"/>
      <c r="C9" s="17"/>
      <c r="D9" s="17"/>
      <c r="E9" s="17"/>
      <c r="F9" s="17"/>
      <c r="G9" s="17"/>
      <c r="H9" s="16" t="s">
        <v>69</v>
      </c>
      <c r="I9" t="s">
        <v>73</v>
      </c>
      <c r="K9" s="17"/>
      <c r="L9" s="17"/>
      <c r="M9" s="17"/>
      <c r="N9" s="17"/>
      <c r="O9" s="17"/>
      <c r="P9" s="17"/>
      <c r="Q9" s="16" t="s">
        <v>69</v>
      </c>
      <c r="R9" t="s">
        <v>90</v>
      </c>
      <c r="T9" s="17"/>
      <c r="U9" s="17"/>
      <c r="V9" s="17"/>
      <c r="W9" s="17"/>
      <c r="X9" s="17"/>
      <c r="Y9" s="17"/>
      <c r="Z9" s="17"/>
      <c r="AA9" s="17"/>
    </row>
    <row r="10" spans="1:27" x14ac:dyDescent="0.3">
      <c r="A10" s="17"/>
      <c r="B10" s="17"/>
      <c r="C10" s="17"/>
      <c r="D10" s="17"/>
      <c r="E10" s="17"/>
      <c r="F10" s="17"/>
      <c r="G10" s="17"/>
      <c r="H10" s="15" t="s">
        <v>74</v>
      </c>
      <c r="I10">
        <v>1</v>
      </c>
      <c r="K10" s="17"/>
      <c r="L10" s="17"/>
      <c r="M10" s="17"/>
      <c r="N10" s="17"/>
      <c r="O10" s="17"/>
      <c r="P10" s="17"/>
      <c r="Q10" s="15" t="s">
        <v>74</v>
      </c>
      <c r="R10">
        <v>1145</v>
      </c>
      <c r="T10" s="17"/>
      <c r="U10" s="17"/>
      <c r="V10" s="17"/>
      <c r="W10" s="17"/>
      <c r="X10" s="17"/>
      <c r="Y10" s="17"/>
      <c r="Z10" s="17"/>
      <c r="AA10" s="17"/>
    </row>
    <row r="11" spans="1:27" x14ac:dyDescent="0.3">
      <c r="A11" s="17"/>
      <c r="B11" s="17"/>
      <c r="C11" s="17"/>
      <c r="D11" s="17"/>
      <c r="E11" s="17"/>
      <c r="F11" s="17"/>
      <c r="G11" s="17"/>
      <c r="H11" s="15" t="s">
        <v>75</v>
      </c>
      <c r="I11">
        <v>1</v>
      </c>
      <c r="K11" s="17"/>
      <c r="L11" s="17"/>
      <c r="M11" s="17"/>
      <c r="N11" s="17"/>
      <c r="O11" s="17"/>
      <c r="P11" s="17"/>
      <c r="Q11" s="15" t="s">
        <v>75</v>
      </c>
      <c r="R11">
        <v>1320</v>
      </c>
      <c r="T11" s="17"/>
      <c r="U11" s="17"/>
      <c r="V11" s="17"/>
      <c r="W11" s="17"/>
      <c r="X11" s="17"/>
      <c r="Y11" s="17"/>
      <c r="Z11" s="17"/>
      <c r="AA11" s="17"/>
    </row>
    <row r="12" spans="1:27" x14ac:dyDescent="0.3">
      <c r="A12" s="17"/>
      <c r="B12" s="17"/>
      <c r="C12" s="17"/>
      <c r="D12" s="17"/>
      <c r="E12" s="17"/>
      <c r="F12" s="17"/>
      <c r="G12" s="17"/>
      <c r="H12" s="15" t="s">
        <v>76</v>
      </c>
      <c r="I12">
        <v>1</v>
      </c>
      <c r="K12" s="17"/>
      <c r="L12" s="17"/>
      <c r="M12" s="17"/>
      <c r="N12" s="17"/>
      <c r="O12" s="17"/>
      <c r="P12" s="17"/>
      <c r="Q12" s="15" t="s">
        <v>76</v>
      </c>
      <c r="R12">
        <v>2155</v>
      </c>
      <c r="T12" s="17"/>
      <c r="U12" s="17"/>
      <c r="V12" s="17"/>
      <c r="W12" s="17"/>
      <c r="X12" s="17"/>
      <c r="Y12" s="17"/>
      <c r="Z12" s="17"/>
      <c r="AA12" s="17"/>
    </row>
    <row r="13" spans="1:27" x14ac:dyDescent="0.3">
      <c r="A13" s="17"/>
      <c r="B13" s="17"/>
      <c r="C13" s="17"/>
      <c r="D13" s="17"/>
      <c r="E13" s="17"/>
      <c r="F13" s="17"/>
      <c r="G13" s="17"/>
      <c r="H13" s="15" t="s">
        <v>77</v>
      </c>
      <c r="I13">
        <v>2</v>
      </c>
      <c r="K13" s="17"/>
      <c r="L13" s="17"/>
      <c r="M13" s="17"/>
      <c r="N13" s="17"/>
      <c r="O13" s="17"/>
      <c r="P13" s="17"/>
      <c r="Q13" s="15" t="s">
        <v>77</v>
      </c>
      <c r="R13">
        <v>2952.3</v>
      </c>
      <c r="T13" s="17"/>
      <c r="U13" s="17"/>
      <c r="V13" s="17"/>
      <c r="W13" s="17"/>
      <c r="X13" s="17"/>
      <c r="Y13" s="17"/>
      <c r="Z13" s="17"/>
      <c r="AA13" s="17"/>
    </row>
    <row r="14" spans="1:27" x14ac:dyDescent="0.3">
      <c r="A14" s="17"/>
      <c r="B14" s="17"/>
      <c r="C14" s="17"/>
      <c r="D14" s="17"/>
      <c r="E14" s="17"/>
      <c r="F14" s="17"/>
      <c r="G14" s="17"/>
      <c r="H14" s="15" t="s">
        <v>78</v>
      </c>
      <c r="I14">
        <v>1</v>
      </c>
      <c r="K14" s="17"/>
      <c r="L14" s="17"/>
      <c r="M14" s="17"/>
      <c r="N14" s="17"/>
      <c r="O14" s="17"/>
      <c r="P14" s="17"/>
      <c r="Q14" s="15" t="s">
        <v>78</v>
      </c>
      <c r="R14">
        <v>2777.3</v>
      </c>
      <c r="T14" s="17"/>
      <c r="U14" s="17"/>
      <c r="V14" s="17"/>
      <c r="W14" s="17"/>
      <c r="X14" s="17"/>
      <c r="Y14" s="17"/>
      <c r="Z14" s="17"/>
      <c r="AA14" s="17"/>
    </row>
    <row r="15" spans="1:27" x14ac:dyDescent="0.3">
      <c r="A15" s="17"/>
      <c r="B15" s="17"/>
      <c r="C15" s="17"/>
      <c r="D15" s="17"/>
      <c r="E15" s="17"/>
      <c r="F15" s="17"/>
      <c r="G15" s="17"/>
      <c r="H15" s="15" t="s">
        <v>79</v>
      </c>
      <c r="I15">
        <v>1</v>
      </c>
      <c r="K15" s="17"/>
      <c r="L15" s="17"/>
      <c r="M15" s="17"/>
      <c r="N15" s="17"/>
      <c r="O15" s="17"/>
      <c r="P15" s="17"/>
      <c r="Q15" s="15" t="s">
        <v>79</v>
      </c>
      <c r="R15">
        <v>3612.3</v>
      </c>
      <c r="T15" s="17"/>
      <c r="U15" s="17"/>
      <c r="V15" s="17"/>
      <c r="W15" s="17"/>
      <c r="X15" s="17"/>
      <c r="Y15" s="17"/>
      <c r="Z15" s="17"/>
      <c r="AA15" s="17"/>
    </row>
    <row r="16" spans="1:27" x14ac:dyDescent="0.3">
      <c r="A16" s="17"/>
      <c r="B16" s="17"/>
      <c r="C16" s="17"/>
      <c r="D16" s="17"/>
      <c r="E16" s="17"/>
      <c r="F16" s="17"/>
      <c r="G16" s="17"/>
      <c r="H16" s="15" t="s">
        <v>80</v>
      </c>
      <c r="I16">
        <v>1</v>
      </c>
      <c r="K16" s="17"/>
      <c r="L16" s="17"/>
      <c r="M16" s="17"/>
      <c r="N16" s="17"/>
      <c r="O16" s="17"/>
      <c r="P16" s="17"/>
      <c r="Q16" s="15" t="s">
        <v>80</v>
      </c>
      <c r="R16">
        <v>3911.3</v>
      </c>
      <c r="T16" s="17"/>
      <c r="U16" s="17"/>
      <c r="V16" s="17"/>
      <c r="W16" s="17"/>
      <c r="X16" s="17"/>
      <c r="Y16" s="17"/>
      <c r="Z16" s="17"/>
      <c r="AA16" s="17"/>
    </row>
    <row r="17" spans="1:27" x14ac:dyDescent="0.3">
      <c r="A17" s="17"/>
      <c r="B17" s="17"/>
      <c r="C17" s="17"/>
      <c r="D17" s="17"/>
      <c r="E17" s="17"/>
      <c r="F17" s="17"/>
      <c r="G17" s="17"/>
      <c r="H17" s="15" t="s">
        <v>81</v>
      </c>
      <c r="I17">
        <v>1</v>
      </c>
      <c r="K17" s="17"/>
      <c r="L17" s="17"/>
      <c r="M17" s="17"/>
      <c r="N17" s="17"/>
      <c r="O17" s="17"/>
      <c r="P17" s="17"/>
      <c r="Q17" s="15" t="s">
        <v>81</v>
      </c>
      <c r="R17">
        <v>6361.3</v>
      </c>
      <c r="T17" s="17"/>
      <c r="U17" s="17"/>
      <c r="V17" s="17"/>
      <c r="W17" s="17"/>
      <c r="X17" s="17"/>
      <c r="Y17" s="17"/>
      <c r="Z17" s="17"/>
      <c r="AA17" s="17"/>
    </row>
    <row r="18" spans="1:27" x14ac:dyDescent="0.3">
      <c r="A18" s="17"/>
      <c r="B18" s="17"/>
      <c r="C18" s="17"/>
      <c r="D18" s="17"/>
      <c r="E18" s="17"/>
      <c r="F18" s="17"/>
      <c r="G18" s="17"/>
      <c r="H18" s="15" t="s">
        <v>82</v>
      </c>
      <c r="I18">
        <v>1</v>
      </c>
      <c r="K18" s="17"/>
      <c r="L18" s="17"/>
      <c r="M18" s="17"/>
      <c r="N18" s="17"/>
      <c r="O18" s="17"/>
      <c r="P18" s="17"/>
      <c r="Q18" s="15" t="s">
        <v>82</v>
      </c>
      <c r="R18">
        <v>6871.3</v>
      </c>
      <c r="T18" s="17"/>
      <c r="U18" s="17"/>
      <c r="V18" s="17"/>
      <c r="W18" s="17"/>
      <c r="X18" s="17"/>
      <c r="Y18" s="17"/>
      <c r="Z18" s="17"/>
      <c r="AA18" s="17"/>
    </row>
    <row r="19" spans="1:27" x14ac:dyDescent="0.3">
      <c r="A19" s="17"/>
      <c r="B19" s="17"/>
      <c r="C19" s="17"/>
      <c r="D19" s="17"/>
      <c r="E19" s="17"/>
      <c r="F19" s="17"/>
      <c r="G19" s="17"/>
      <c r="H19" s="15" t="s">
        <v>83</v>
      </c>
      <c r="I19">
        <v>1</v>
      </c>
      <c r="K19" s="17"/>
      <c r="L19" s="17"/>
      <c r="M19" s="17"/>
      <c r="N19" s="17"/>
      <c r="O19" s="17"/>
      <c r="P19" s="17"/>
      <c r="Q19" s="15" t="s">
        <v>83</v>
      </c>
      <c r="R19">
        <v>7391.3</v>
      </c>
      <c r="T19" s="17"/>
      <c r="U19" s="17"/>
      <c r="V19" s="17"/>
      <c r="W19" s="17"/>
      <c r="X19" s="17"/>
      <c r="Y19" s="17"/>
      <c r="Z19" s="17"/>
      <c r="AA19" s="17"/>
    </row>
    <row r="20" spans="1:27" x14ac:dyDescent="0.3">
      <c r="A20" s="17"/>
      <c r="B20" s="17"/>
      <c r="C20" s="17"/>
      <c r="D20" s="17"/>
      <c r="E20" s="17"/>
      <c r="F20" s="17"/>
      <c r="G20" s="17"/>
      <c r="H20" s="15" t="s">
        <v>84</v>
      </c>
      <c r="I20">
        <v>1</v>
      </c>
      <c r="K20" s="17"/>
      <c r="L20" s="17"/>
      <c r="M20" s="17"/>
      <c r="N20" s="17"/>
      <c r="O20" s="17"/>
      <c r="P20" s="17"/>
      <c r="Q20" s="15" t="s">
        <v>84</v>
      </c>
      <c r="R20">
        <v>7791.3</v>
      </c>
      <c r="T20" s="17"/>
      <c r="U20" s="17"/>
      <c r="V20" s="17"/>
      <c r="W20" s="17"/>
      <c r="X20" s="17"/>
      <c r="Y20" s="17"/>
      <c r="Z20" s="17"/>
      <c r="AA20" s="17"/>
    </row>
    <row r="21" spans="1:27" x14ac:dyDescent="0.3">
      <c r="A21" s="17"/>
      <c r="B21" s="17"/>
      <c r="C21" s="17"/>
      <c r="D21" s="17"/>
      <c r="E21" s="17"/>
      <c r="F21" s="17"/>
      <c r="G21" s="17"/>
      <c r="H21" s="15" t="s">
        <v>85</v>
      </c>
      <c r="I21">
        <v>1</v>
      </c>
      <c r="K21" s="17"/>
      <c r="L21" s="17"/>
      <c r="M21" s="17"/>
      <c r="N21" s="17"/>
      <c r="O21" s="17"/>
      <c r="P21" s="17"/>
      <c r="Q21" s="15" t="s">
        <v>85</v>
      </c>
      <c r="R21">
        <v>7791.3</v>
      </c>
      <c r="T21" s="17"/>
      <c r="U21" s="17"/>
      <c r="V21" s="17"/>
      <c r="W21" s="17"/>
      <c r="X21" s="17"/>
      <c r="Y21" s="17"/>
      <c r="Z21" s="17"/>
      <c r="AA21" s="17"/>
    </row>
    <row r="22" spans="1:27" x14ac:dyDescent="0.3">
      <c r="A22" s="17"/>
      <c r="B22" s="17"/>
      <c r="C22" s="17"/>
      <c r="D22" s="17"/>
      <c r="E22" s="17"/>
      <c r="F22" s="17"/>
      <c r="G22" s="17"/>
      <c r="H22" s="15" t="s">
        <v>86</v>
      </c>
      <c r="I22">
        <v>1</v>
      </c>
      <c r="K22" s="17"/>
      <c r="L22" s="17"/>
      <c r="M22" s="17"/>
      <c r="N22" s="17"/>
      <c r="O22" s="17"/>
      <c r="P22" s="17"/>
      <c r="Q22" s="15" t="s">
        <v>86</v>
      </c>
      <c r="R22">
        <v>7891.3</v>
      </c>
      <c r="T22" s="17"/>
      <c r="U22" s="17"/>
      <c r="V22" s="17"/>
      <c r="W22" s="17"/>
      <c r="X22" s="17"/>
      <c r="Y22" s="17"/>
      <c r="Z22" s="17"/>
      <c r="AA22" s="17"/>
    </row>
    <row r="23" spans="1:27" x14ac:dyDescent="0.3">
      <c r="A23" s="17"/>
      <c r="B23" s="17"/>
      <c r="C23" s="17"/>
      <c r="D23" s="17"/>
      <c r="E23" s="17"/>
      <c r="F23" s="17"/>
      <c r="G23" s="17"/>
      <c r="H23" s="15" t="s">
        <v>99</v>
      </c>
      <c r="I23">
        <v>1</v>
      </c>
      <c r="K23" s="17"/>
      <c r="L23" s="17"/>
      <c r="M23" s="17"/>
      <c r="N23" s="17"/>
      <c r="O23" s="17"/>
      <c r="P23" s="17"/>
      <c r="Q23" s="15" t="s">
        <v>99</v>
      </c>
      <c r="R23">
        <v>8051.3</v>
      </c>
      <c r="T23" s="17"/>
      <c r="U23" s="17"/>
      <c r="V23" s="17"/>
      <c r="W23" s="17"/>
      <c r="X23" s="17"/>
      <c r="Y23" s="17"/>
      <c r="Z23" s="17"/>
      <c r="AA23" s="17"/>
    </row>
    <row r="24" spans="1:27" x14ac:dyDescent="0.3">
      <c r="A24" s="17"/>
      <c r="B24" s="17"/>
      <c r="C24" s="17"/>
      <c r="D24" s="17"/>
      <c r="E24" s="17"/>
      <c r="F24" s="17"/>
      <c r="G24" s="17"/>
      <c r="H24" s="15" t="s">
        <v>72</v>
      </c>
      <c r="I24">
        <v>15</v>
      </c>
      <c r="K24" s="17"/>
      <c r="L24" s="17"/>
      <c r="M24" s="17"/>
      <c r="N24" s="17"/>
      <c r="O24" s="17"/>
      <c r="P24" s="17"/>
      <c r="Q24" s="15" t="s">
        <v>72</v>
      </c>
      <c r="R24">
        <v>8051.3</v>
      </c>
      <c r="T24" s="17"/>
      <c r="U24" s="17"/>
      <c r="V24" s="17"/>
      <c r="W24" s="17"/>
      <c r="X24" s="17"/>
      <c r="Y24" s="17"/>
      <c r="Z24" s="17"/>
      <c r="AA24" s="17"/>
    </row>
    <row r="25" spans="1:27" x14ac:dyDescent="0.3">
      <c r="A25" s="17"/>
      <c r="B25" s="17"/>
      <c r="C25" s="17"/>
      <c r="D25" s="17"/>
      <c r="E25" s="17"/>
      <c r="F25" s="17"/>
      <c r="G25" s="17"/>
      <c r="K25" s="17"/>
      <c r="L25" s="17"/>
      <c r="M25" s="17"/>
      <c r="N25" s="17"/>
      <c r="O25" s="17"/>
      <c r="P25" s="17"/>
      <c r="Q25" s="17"/>
      <c r="R25" s="17"/>
      <c r="S25" s="17"/>
      <c r="T25" s="17"/>
      <c r="U25" s="17"/>
      <c r="V25" s="17"/>
      <c r="W25" s="17"/>
      <c r="X25" s="17"/>
      <c r="Y25" s="17"/>
      <c r="Z25" s="17"/>
      <c r="AA25" s="17"/>
    </row>
    <row r="26" spans="1:27" x14ac:dyDescent="0.3">
      <c r="A26" s="17"/>
      <c r="B26" s="17"/>
      <c r="C26" s="17"/>
      <c r="D26" s="17"/>
      <c r="E26" s="17"/>
      <c r="F26" s="17"/>
      <c r="G26" s="17"/>
      <c r="K26" s="17"/>
      <c r="L26" s="17"/>
      <c r="M26" s="17"/>
      <c r="N26" s="17"/>
      <c r="O26" s="17"/>
      <c r="P26" s="17"/>
      <c r="Q26" s="17"/>
      <c r="R26" s="17"/>
      <c r="S26" s="17"/>
      <c r="T26" s="17"/>
      <c r="U26" s="17"/>
      <c r="V26" s="17"/>
      <c r="W26" s="17"/>
      <c r="X26" s="17"/>
      <c r="Y26" s="17"/>
      <c r="Z26" s="17"/>
      <c r="AA26" s="17"/>
    </row>
    <row r="27" spans="1:27" x14ac:dyDescent="0.3">
      <c r="A27" s="17"/>
      <c r="B27" s="17"/>
      <c r="C27" s="17"/>
      <c r="D27" s="17"/>
      <c r="E27" s="17"/>
      <c r="F27" s="17"/>
      <c r="G27" s="17"/>
      <c r="K27" s="17"/>
      <c r="L27" s="17"/>
      <c r="M27" s="17"/>
      <c r="N27" s="17"/>
      <c r="O27" s="17"/>
      <c r="P27" s="17"/>
      <c r="Q27" s="17"/>
      <c r="R27" s="17"/>
      <c r="S27" s="17"/>
      <c r="T27" s="17"/>
      <c r="U27" s="17"/>
      <c r="V27" s="17"/>
      <c r="W27" s="17"/>
      <c r="X27" s="17"/>
      <c r="Y27" s="17"/>
      <c r="Z27" s="17"/>
      <c r="AA27" s="17"/>
    </row>
    <row r="28" spans="1:27"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row>
    <row r="29" spans="1:27"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row r="30" spans="1:27"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row>
    <row r="31" spans="1:27"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row>
    <row r="32" spans="1:27"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row>
    <row r="33" spans="1:27"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row>
    <row r="34" spans="1:27"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spans="1:27"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spans="1:27"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spans="1:27"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spans="1:27"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spans="1:27"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spans="1:27"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spans="1:27"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spans="1:27"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spans="1:27"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spans="1:27"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spans="1:27" ht="25.8" x14ac:dyDescent="0.5">
      <c r="A45" s="17"/>
      <c r="B45" s="17"/>
      <c r="C45" s="18" t="s">
        <v>68</v>
      </c>
      <c r="D45" s="17"/>
      <c r="E45" s="17"/>
      <c r="F45" s="17"/>
      <c r="G45" s="17"/>
      <c r="H45" s="17"/>
      <c r="I45" s="17"/>
      <c r="J45" s="17"/>
      <c r="K45" s="17"/>
      <c r="L45" s="17"/>
      <c r="M45" s="17"/>
      <c r="N45" s="17"/>
      <c r="O45" s="17"/>
      <c r="P45" s="17"/>
      <c r="Q45" s="17"/>
      <c r="R45" s="17"/>
      <c r="S45" s="17"/>
      <c r="T45" s="17"/>
      <c r="U45" s="17"/>
      <c r="V45" s="17"/>
      <c r="W45" s="17"/>
      <c r="X45" s="17"/>
      <c r="Y45" s="17"/>
      <c r="Z45" s="17"/>
      <c r="AA45" s="17"/>
    </row>
    <row r="46" spans="1:27"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spans="1:27"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spans="1:27"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spans="1:28"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spans="1:28" x14ac:dyDescent="0.3">
      <c r="A50" s="17"/>
      <c r="B50" s="17"/>
      <c r="C50" s="17"/>
      <c r="D50" s="17"/>
      <c r="E50" s="17"/>
      <c r="F50" s="17"/>
      <c r="G50" s="17"/>
      <c r="H50" s="17"/>
      <c r="I50" s="17"/>
      <c r="J50" s="17"/>
      <c r="K50" s="17"/>
      <c r="L50" s="17"/>
      <c r="M50" s="17"/>
      <c r="N50" s="17"/>
      <c r="O50" s="17"/>
      <c r="P50" s="17"/>
      <c r="Q50" s="17"/>
      <c r="R50" s="17"/>
      <c r="S50" s="17"/>
      <c r="T50" s="17"/>
      <c r="U50" s="17"/>
      <c r="V50" s="17"/>
      <c r="W50" s="17"/>
      <c r="Y50" s="17"/>
      <c r="Z50" s="17"/>
      <c r="AA50" s="17"/>
    </row>
    <row r="51" spans="1:28"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spans="1:28" x14ac:dyDescent="0.3">
      <c r="A52" s="17"/>
      <c r="B52" s="17"/>
      <c r="C52" s="17"/>
      <c r="D52" s="17"/>
      <c r="E52" s="17"/>
      <c r="F52" s="17"/>
      <c r="G52" s="17"/>
      <c r="H52" s="17"/>
      <c r="I52" s="17"/>
      <c r="J52" s="17"/>
      <c r="K52" s="16" t="s">
        <v>88</v>
      </c>
      <c r="L52" s="16" t="s">
        <v>87</v>
      </c>
      <c r="P52" s="17"/>
      <c r="Q52" s="17"/>
      <c r="R52" s="16" t="s">
        <v>69</v>
      </c>
      <c r="S52" t="s">
        <v>89</v>
      </c>
      <c r="T52" t="s">
        <v>90</v>
      </c>
      <c r="U52" s="17"/>
      <c r="V52" s="17"/>
      <c r="W52" s="17"/>
      <c r="X52" s="17"/>
      <c r="Y52" s="16" t="s">
        <v>69</v>
      </c>
      <c r="Z52" t="s">
        <v>91</v>
      </c>
      <c r="AB52" s="17"/>
    </row>
    <row r="53" spans="1:28" x14ac:dyDescent="0.3">
      <c r="A53" s="17"/>
      <c r="B53" s="17"/>
      <c r="C53" s="17"/>
      <c r="D53" s="16" t="s">
        <v>69</v>
      </c>
      <c r="E53" t="s">
        <v>93</v>
      </c>
      <c r="G53" s="17"/>
      <c r="H53" s="17"/>
      <c r="I53" s="17"/>
      <c r="J53" s="17"/>
      <c r="K53" s="16" t="s">
        <v>69</v>
      </c>
      <c r="L53" t="s">
        <v>63</v>
      </c>
      <c r="M53" t="s">
        <v>64</v>
      </c>
      <c r="N53" t="s">
        <v>72</v>
      </c>
      <c r="P53" s="17"/>
      <c r="Q53" s="17"/>
      <c r="R53" s="15" t="s">
        <v>37</v>
      </c>
      <c r="S53">
        <v>-57.7</v>
      </c>
      <c r="T53">
        <v>2097.3000000000002</v>
      </c>
      <c r="U53" s="17"/>
      <c r="V53" s="17"/>
      <c r="W53" s="17"/>
      <c r="X53" s="17"/>
      <c r="Y53" s="15" t="s">
        <v>37</v>
      </c>
      <c r="Z53">
        <v>8</v>
      </c>
      <c r="AB53" s="17"/>
    </row>
    <row r="54" spans="1:28" x14ac:dyDescent="0.3">
      <c r="A54" s="17"/>
      <c r="B54" s="17"/>
      <c r="C54" s="17"/>
      <c r="D54" s="15" t="s">
        <v>37</v>
      </c>
      <c r="E54">
        <v>1</v>
      </c>
      <c r="G54" s="17"/>
      <c r="H54" s="17"/>
      <c r="I54" s="17"/>
      <c r="J54" s="17"/>
      <c r="K54" s="15" t="s">
        <v>37</v>
      </c>
      <c r="M54">
        <v>1</v>
      </c>
      <c r="N54">
        <v>1</v>
      </c>
      <c r="P54" s="17"/>
      <c r="Q54" s="17"/>
      <c r="R54" s="15" t="s">
        <v>22</v>
      </c>
      <c r="S54">
        <v>1590</v>
      </c>
      <c r="T54">
        <v>8051.3</v>
      </c>
      <c r="U54" s="17"/>
      <c r="V54" s="17"/>
      <c r="W54" s="17"/>
      <c r="X54" s="17"/>
      <c r="Y54" s="15" t="s">
        <v>22</v>
      </c>
      <c r="Z54">
        <v>8.75</v>
      </c>
      <c r="AB54" s="17"/>
    </row>
    <row r="55" spans="1:28" x14ac:dyDescent="0.3">
      <c r="A55" s="17"/>
      <c r="B55" s="17"/>
      <c r="C55" s="17"/>
      <c r="D55" s="15" t="s">
        <v>22</v>
      </c>
      <c r="E55">
        <v>4</v>
      </c>
      <c r="G55" s="17"/>
      <c r="H55" s="17"/>
      <c r="I55" s="17"/>
      <c r="J55" s="17"/>
      <c r="K55" s="15" t="s">
        <v>22</v>
      </c>
      <c r="L55">
        <v>4</v>
      </c>
      <c r="N55">
        <v>4</v>
      </c>
      <c r="P55" s="17"/>
      <c r="Q55" s="17"/>
      <c r="R55" s="15" t="s">
        <v>28</v>
      </c>
      <c r="T55">
        <v>7791.3</v>
      </c>
      <c r="U55" s="17"/>
      <c r="V55" s="17"/>
      <c r="W55" s="17"/>
      <c r="X55" s="17"/>
      <c r="Y55" s="15" t="s">
        <v>28</v>
      </c>
      <c r="AB55" s="17"/>
    </row>
    <row r="56" spans="1:28" x14ac:dyDescent="0.3">
      <c r="A56" s="17"/>
      <c r="B56" s="17"/>
      <c r="C56" s="17"/>
      <c r="D56" s="15" t="s">
        <v>28</v>
      </c>
      <c r="E56">
        <v>1</v>
      </c>
      <c r="G56" s="17"/>
      <c r="H56" s="17"/>
      <c r="I56" s="17"/>
      <c r="J56" s="17"/>
      <c r="K56" s="15" t="s">
        <v>38</v>
      </c>
      <c r="L56">
        <v>1</v>
      </c>
      <c r="N56">
        <v>1</v>
      </c>
      <c r="P56" s="17"/>
      <c r="Q56" s="17"/>
      <c r="R56" s="15" t="s">
        <v>38</v>
      </c>
      <c r="S56">
        <v>100</v>
      </c>
      <c r="T56">
        <v>7891.3</v>
      </c>
      <c r="U56" s="17"/>
      <c r="V56" s="17"/>
      <c r="W56" s="17"/>
      <c r="X56" s="17"/>
      <c r="Y56" s="15" t="s">
        <v>38</v>
      </c>
      <c r="Z56">
        <v>0.1</v>
      </c>
      <c r="AB56" s="17"/>
    </row>
    <row r="57" spans="1:28" x14ac:dyDescent="0.3">
      <c r="A57" s="17"/>
      <c r="B57" s="17"/>
      <c r="C57" s="17"/>
      <c r="D57" s="15" t="s">
        <v>38</v>
      </c>
      <c r="E57">
        <v>1</v>
      </c>
      <c r="G57" s="17"/>
      <c r="H57" s="17"/>
      <c r="I57" s="17"/>
      <c r="J57" s="17"/>
      <c r="K57" s="15" t="s">
        <v>25</v>
      </c>
      <c r="L57">
        <v>1</v>
      </c>
      <c r="N57">
        <v>1</v>
      </c>
      <c r="P57" s="17"/>
      <c r="Q57" s="17"/>
      <c r="R57" s="15" t="s">
        <v>25</v>
      </c>
      <c r="S57">
        <v>2450</v>
      </c>
      <c r="T57">
        <v>6361.3</v>
      </c>
      <c r="U57" s="17"/>
      <c r="V57" s="17"/>
      <c r="W57" s="17"/>
      <c r="X57" s="17"/>
      <c r="Y57" s="15" t="s">
        <v>25</v>
      </c>
      <c r="Z57">
        <v>8</v>
      </c>
      <c r="AB57" s="17"/>
    </row>
    <row r="58" spans="1:28" x14ac:dyDescent="0.3">
      <c r="A58" s="17"/>
      <c r="B58" s="17"/>
      <c r="C58" s="17"/>
      <c r="D58" s="15" t="s">
        <v>25</v>
      </c>
      <c r="E58">
        <v>1</v>
      </c>
      <c r="G58" s="17"/>
      <c r="H58" s="17"/>
      <c r="I58" s="17"/>
      <c r="J58" s="17"/>
      <c r="K58" s="15" t="s">
        <v>26</v>
      </c>
      <c r="L58">
        <v>6</v>
      </c>
      <c r="M58">
        <v>1</v>
      </c>
      <c r="N58">
        <v>7</v>
      </c>
      <c r="P58" s="17"/>
      <c r="Q58" s="17"/>
      <c r="R58" s="15" t="s">
        <v>26</v>
      </c>
      <c r="S58">
        <v>2969</v>
      </c>
      <c r="T58">
        <v>3911.3</v>
      </c>
      <c r="U58" s="17"/>
      <c r="V58" s="17"/>
      <c r="W58" s="17"/>
      <c r="X58" s="17"/>
      <c r="Y58" s="15" t="s">
        <v>26</v>
      </c>
      <c r="Z58">
        <v>5</v>
      </c>
      <c r="AB58" s="17"/>
    </row>
    <row r="59" spans="1:28" x14ac:dyDescent="0.3">
      <c r="A59" s="17"/>
      <c r="B59" s="17"/>
      <c r="C59" s="17"/>
      <c r="D59" s="15" t="s">
        <v>26</v>
      </c>
      <c r="E59">
        <v>7</v>
      </c>
      <c r="G59" s="17"/>
      <c r="H59" s="17"/>
      <c r="I59" s="17"/>
      <c r="J59" s="17"/>
      <c r="K59" s="15" t="s">
        <v>72</v>
      </c>
      <c r="L59">
        <v>12</v>
      </c>
      <c r="M59">
        <v>2</v>
      </c>
      <c r="N59">
        <v>14</v>
      </c>
      <c r="P59" s="17"/>
      <c r="Q59" s="17"/>
      <c r="R59" s="15" t="s">
        <v>72</v>
      </c>
      <c r="S59">
        <v>7051.3</v>
      </c>
      <c r="T59">
        <v>8051.3</v>
      </c>
      <c r="U59" s="17"/>
      <c r="V59" s="17"/>
      <c r="W59" s="17"/>
      <c r="X59" s="17"/>
      <c r="Y59" s="15" t="s">
        <v>72</v>
      </c>
      <c r="Z59" s="20">
        <v>6.1499999999999995</v>
      </c>
      <c r="AB59" s="17"/>
    </row>
    <row r="60" spans="1:28" x14ac:dyDescent="0.3">
      <c r="A60" s="17"/>
      <c r="B60" s="17"/>
      <c r="C60" s="17"/>
      <c r="D60" s="15" t="s">
        <v>72</v>
      </c>
      <c r="E60">
        <v>15</v>
      </c>
      <c r="G60" s="17"/>
      <c r="H60" s="17"/>
      <c r="I60" s="17"/>
      <c r="J60" s="17"/>
      <c r="P60" s="17"/>
      <c r="Q60" s="17"/>
      <c r="U60" s="17"/>
      <c r="V60" s="17"/>
      <c r="W60" s="17"/>
      <c r="X60" s="17"/>
      <c r="AB60" s="17"/>
    </row>
    <row r="61" spans="1:28" x14ac:dyDescent="0.3">
      <c r="A61" s="17"/>
      <c r="B61" s="17"/>
      <c r="C61" s="17"/>
      <c r="G61" s="17"/>
      <c r="H61" s="17"/>
      <c r="I61" s="17"/>
      <c r="J61" s="17"/>
      <c r="P61" s="17"/>
      <c r="Q61" s="17"/>
      <c r="U61" s="17"/>
      <c r="V61" s="17"/>
      <c r="W61" s="17"/>
      <c r="X61" s="17"/>
      <c r="AB61" s="17"/>
    </row>
    <row r="62" spans="1:28" x14ac:dyDescent="0.3">
      <c r="A62" s="17"/>
      <c r="B62" s="17"/>
      <c r="C62" s="17"/>
      <c r="G62" s="17"/>
      <c r="H62" s="17"/>
      <c r="I62" s="17"/>
      <c r="J62" s="17"/>
      <c r="N62" s="17"/>
      <c r="O62" s="17"/>
      <c r="P62" s="17"/>
      <c r="Q62" s="17"/>
      <c r="U62" s="17"/>
      <c r="V62" s="17"/>
      <c r="W62" s="17"/>
      <c r="X62" s="17"/>
      <c r="AB62" s="17"/>
    </row>
    <row r="63" spans="1:28" x14ac:dyDescent="0.3">
      <c r="A63" s="17"/>
      <c r="B63" s="17"/>
      <c r="C63" s="17"/>
      <c r="G63" s="17"/>
      <c r="H63" s="17"/>
      <c r="I63" s="17"/>
      <c r="J63" s="17"/>
      <c r="N63" s="17"/>
      <c r="O63" s="17"/>
      <c r="P63" s="17"/>
      <c r="Q63" s="17"/>
      <c r="U63" s="17"/>
      <c r="V63" s="17"/>
      <c r="W63" s="17"/>
      <c r="X63" s="17"/>
      <c r="AB63" s="17"/>
    </row>
    <row r="64" spans="1:28" x14ac:dyDescent="0.3">
      <c r="A64" s="17"/>
      <c r="B64" s="17"/>
      <c r="C64" s="17"/>
      <c r="G64" s="17"/>
      <c r="H64" s="17"/>
      <c r="I64" s="17"/>
      <c r="J64" s="17"/>
      <c r="N64" s="17"/>
      <c r="O64" s="17"/>
      <c r="P64" s="17"/>
      <c r="Q64" s="17"/>
      <c r="U64" s="17"/>
      <c r="V64" s="17"/>
      <c r="W64" s="17"/>
      <c r="X64" s="17"/>
      <c r="AB64" s="17"/>
    </row>
    <row r="65" spans="1:28" x14ac:dyDescent="0.3">
      <c r="A65" s="17"/>
      <c r="B65" s="17"/>
      <c r="C65" s="17"/>
      <c r="G65" s="17"/>
      <c r="H65" s="17"/>
      <c r="I65" s="17"/>
      <c r="J65" s="17"/>
      <c r="N65" s="17"/>
      <c r="O65" s="17"/>
      <c r="P65" s="17"/>
      <c r="Q65" s="17"/>
      <c r="U65" s="17"/>
      <c r="V65" s="17"/>
      <c r="W65" s="17"/>
      <c r="X65" s="17"/>
      <c r="AB65" s="17"/>
    </row>
    <row r="66" spans="1:28" x14ac:dyDescent="0.3">
      <c r="A66" s="17"/>
      <c r="B66" s="17"/>
      <c r="C66" s="17"/>
      <c r="G66" s="17"/>
      <c r="H66" s="17"/>
      <c r="I66" s="17"/>
      <c r="J66" s="17"/>
      <c r="N66" s="17"/>
      <c r="O66" s="17"/>
      <c r="P66" s="17"/>
      <c r="Q66" s="17"/>
      <c r="U66" s="17"/>
      <c r="V66" s="17"/>
      <c r="W66" s="17"/>
      <c r="X66" s="17"/>
      <c r="AB66" s="17"/>
    </row>
    <row r="67" spans="1:28" x14ac:dyDescent="0.3">
      <c r="A67" s="17"/>
      <c r="B67" s="17"/>
      <c r="C67" s="17"/>
      <c r="G67" s="17"/>
      <c r="H67" s="17"/>
      <c r="I67" s="17"/>
      <c r="J67" s="17"/>
      <c r="N67" s="17"/>
      <c r="O67" s="17"/>
      <c r="P67" s="17"/>
      <c r="Q67" s="17"/>
      <c r="U67" s="17"/>
      <c r="V67" s="17"/>
      <c r="W67" s="17"/>
      <c r="X67" s="17"/>
      <c r="AB67" s="17"/>
    </row>
    <row r="68" spans="1:28" x14ac:dyDescent="0.3">
      <c r="A68" s="17"/>
      <c r="B68" s="17"/>
      <c r="C68" s="17"/>
      <c r="G68" s="17"/>
      <c r="H68" s="17"/>
      <c r="I68" s="17"/>
      <c r="J68" s="17"/>
      <c r="N68" s="17"/>
      <c r="O68" s="17"/>
      <c r="P68" s="17"/>
      <c r="Q68" s="17"/>
      <c r="U68" s="17"/>
      <c r="V68" s="17"/>
      <c r="W68" s="17"/>
      <c r="X68" s="17"/>
      <c r="AB68" s="17"/>
    </row>
    <row r="69" spans="1:28" x14ac:dyDescent="0.3">
      <c r="A69" s="17"/>
      <c r="B69" s="17"/>
      <c r="C69" s="17"/>
      <c r="G69" s="17"/>
      <c r="H69" s="17"/>
      <c r="I69" s="17"/>
      <c r="J69" s="17"/>
      <c r="N69" s="17"/>
      <c r="O69" s="17"/>
      <c r="P69" s="17"/>
      <c r="Q69" s="17"/>
      <c r="U69" s="17"/>
      <c r="V69" s="17"/>
      <c r="W69" s="17"/>
      <c r="X69" s="17"/>
      <c r="AB69" s="17"/>
    </row>
    <row r="70" spans="1:28" x14ac:dyDescent="0.3">
      <c r="A70" s="17"/>
      <c r="B70" s="17"/>
      <c r="C70" s="17"/>
      <c r="G70" s="17"/>
      <c r="H70" s="17"/>
      <c r="I70" s="17"/>
      <c r="J70" s="17"/>
      <c r="K70" s="17"/>
      <c r="L70" s="17"/>
      <c r="M70" s="17"/>
      <c r="N70" s="17"/>
      <c r="O70" s="17"/>
      <c r="P70" s="17"/>
      <c r="Q70" s="17"/>
      <c r="R70" s="17"/>
      <c r="S70" s="17"/>
      <c r="T70" s="17"/>
      <c r="U70" s="17"/>
      <c r="V70" s="17"/>
      <c r="W70" s="17"/>
      <c r="X70" s="17"/>
      <c r="Y70" s="17"/>
      <c r="Z70" s="17"/>
      <c r="AA70" s="17"/>
      <c r="AB70" s="17"/>
    </row>
    <row r="71" spans="1:28"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row>
    <row r="72" spans="1:28"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row>
    <row r="73" spans="1:28" ht="25.8" x14ac:dyDescent="0.5">
      <c r="A73" s="17"/>
      <c r="B73" s="17"/>
      <c r="C73" s="18" t="s">
        <v>70</v>
      </c>
      <c r="D73" s="17"/>
      <c r="E73" s="17"/>
      <c r="F73" s="17"/>
      <c r="G73" s="17"/>
      <c r="H73" s="17"/>
      <c r="I73" s="17"/>
      <c r="J73" s="17"/>
      <c r="K73" s="17"/>
      <c r="L73" s="17"/>
      <c r="M73" s="17"/>
      <c r="N73" s="17"/>
      <c r="O73" s="17"/>
      <c r="P73" s="17"/>
      <c r="Q73" s="17"/>
      <c r="R73" s="17"/>
      <c r="S73" s="17"/>
      <c r="T73" s="17"/>
      <c r="U73" s="17"/>
      <c r="V73" s="17"/>
      <c r="W73" s="17"/>
      <c r="X73" s="17"/>
      <c r="Y73" s="17"/>
      <c r="Z73" s="17"/>
      <c r="AA73" s="17"/>
    </row>
    <row r="74" spans="1:28"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spans="1:28"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spans="1:28"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spans="1:28"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spans="1:28"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spans="1:28"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spans="1:28"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spans="1:27" x14ac:dyDescent="0.3">
      <c r="A81" s="17"/>
      <c r="B81" s="17"/>
      <c r="C81" s="17"/>
      <c r="D81" s="16" t="s">
        <v>69</v>
      </c>
      <c r="E81" t="s">
        <v>92</v>
      </c>
      <c r="G81" s="17"/>
      <c r="H81" s="17"/>
      <c r="I81" s="17"/>
      <c r="J81" s="17"/>
      <c r="K81" s="17"/>
      <c r="L81" s="16" t="s">
        <v>69</v>
      </c>
      <c r="M81" t="s">
        <v>92</v>
      </c>
      <c r="O81" s="17"/>
      <c r="P81" s="17"/>
      <c r="Q81" s="17"/>
      <c r="R81" s="17"/>
      <c r="S81" s="17"/>
      <c r="T81" s="17"/>
      <c r="U81" s="17"/>
      <c r="V81" s="17"/>
      <c r="W81" s="17"/>
      <c r="X81" s="17"/>
      <c r="Y81" s="17"/>
      <c r="Z81" s="17"/>
      <c r="AA81" s="17"/>
    </row>
    <row r="82" spans="1:27" x14ac:dyDescent="0.3">
      <c r="A82" s="17"/>
      <c r="B82" s="17"/>
      <c r="C82" s="17"/>
      <c r="D82" s="15" t="s">
        <v>44</v>
      </c>
      <c r="E82" s="21">
        <v>7.6923076923076927E-2</v>
      </c>
      <c r="G82" s="17"/>
      <c r="H82" s="17"/>
      <c r="I82" s="17"/>
      <c r="J82" s="17"/>
      <c r="K82" s="17"/>
      <c r="L82" s="15" t="s">
        <v>44</v>
      </c>
      <c r="M82" s="21">
        <v>7.1428571428571425E-2</v>
      </c>
      <c r="O82" s="17"/>
      <c r="P82" s="17"/>
      <c r="Q82" s="17"/>
      <c r="R82" s="17"/>
      <c r="S82" s="17"/>
      <c r="T82" s="17"/>
      <c r="U82" s="17"/>
      <c r="V82" s="17"/>
      <c r="W82" s="17"/>
      <c r="X82" s="17"/>
      <c r="Y82" s="17"/>
      <c r="Z82" s="17"/>
      <c r="AA82" s="17"/>
    </row>
    <row r="83" spans="1:27" x14ac:dyDescent="0.3">
      <c r="A83" s="17"/>
      <c r="B83" s="17"/>
      <c r="C83" s="17"/>
      <c r="D83" s="15" t="s">
        <v>46</v>
      </c>
      <c r="E83" s="21">
        <v>7.6923076923076927E-2</v>
      </c>
      <c r="G83" s="17"/>
      <c r="H83" s="17"/>
      <c r="I83" s="17"/>
      <c r="J83" s="17"/>
      <c r="K83" s="17"/>
      <c r="L83" s="15" t="s">
        <v>46</v>
      </c>
      <c r="M83" s="21">
        <v>7.1428571428571425E-2</v>
      </c>
      <c r="O83" s="17"/>
      <c r="P83" s="17"/>
      <c r="Q83" s="17"/>
      <c r="R83" s="17"/>
      <c r="S83" s="17"/>
      <c r="T83" s="17"/>
      <c r="U83" s="17"/>
      <c r="V83" s="17"/>
      <c r="W83" s="17"/>
      <c r="X83" s="17"/>
      <c r="Y83" s="17"/>
      <c r="Z83" s="17"/>
      <c r="AA83" s="17"/>
    </row>
    <row r="84" spans="1:27" x14ac:dyDescent="0.3">
      <c r="A84" s="17"/>
      <c r="B84" s="17"/>
      <c r="C84" s="17"/>
      <c r="D84" s="15" t="s">
        <v>39</v>
      </c>
      <c r="E84" s="21">
        <v>0.23076923076923078</v>
      </c>
      <c r="G84" s="17"/>
      <c r="H84" s="17"/>
      <c r="I84" s="17"/>
      <c r="J84" s="17"/>
      <c r="K84" s="17"/>
      <c r="L84" s="15" t="s">
        <v>39</v>
      </c>
      <c r="M84" s="21">
        <v>0.2857142857142857</v>
      </c>
      <c r="O84" s="17"/>
      <c r="P84" s="17"/>
      <c r="Q84" s="17"/>
      <c r="R84" s="17"/>
      <c r="S84" s="17"/>
      <c r="T84" s="17"/>
      <c r="U84" s="17"/>
      <c r="V84" s="17"/>
      <c r="W84" s="17"/>
      <c r="X84" s="17"/>
      <c r="Y84" s="17"/>
      <c r="Z84" s="17"/>
      <c r="AA84" s="17"/>
    </row>
    <row r="85" spans="1:27" x14ac:dyDescent="0.3">
      <c r="A85" s="17"/>
      <c r="B85" s="17"/>
      <c r="C85" s="17"/>
      <c r="D85" s="15" t="s">
        <v>40</v>
      </c>
      <c r="E85" s="21">
        <v>0.15384615384615385</v>
      </c>
      <c r="G85" s="17"/>
      <c r="H85" s="17"/>
      <c r="I85" s="17"/>
      <c r="J85" s="17"/>
      <c r="K85" s="17"/>
      <c r="L85" s="15" t="s">
        <v>40</v>
      </c>
      <c r="M85" s="21">
        <v>0.14285714285714285</v>
      </c>
      <c r="O85" s="17"/>
      <c r="P85" s="17"/>
      <c r="Q85" s="17"/>
      <c r="R85" s="17"/>
      <c r="S85" s="17"/>
      <c r="T85" s="17"/>
      <c r="U85" s="17"/>
      <c r="V85" s="17"/>
      <c r="W85" s="17"/>
      <c r="X85" s="17"/>
      <c r="Y85" s="17"/>
      <c r="Z85" s="17"/>
      <c r="AA85" s="17"/>
    </row>
    <row r="86" spans="1:27" x14ac:dyDescent="0.3">
      <c r="A86" s="17"/>
      <c r="B86" s="17"/>
      <c r="C86" s="17"/>
      <c r="D86" s="15" t="s">
        <v>42</v>
      </c>
      <c r="E86" s="21">
        <v>7.6923076923076927E-2</v>
      </c>
      <c r="G86" s="17"/>
      <c r="H86" s="17"/>
      <c r="I86" s="17"/>
      <c r="J86" s="17"/>
      <c r="K86" s="17"/>
      <c r="L86" s="15" t="s">
        <v>42</v>
      </c>
      <c r="M86" s="21">
        <v>7.1428571428571425E-2</v>
      </c>
      <c r="O86" s="17"/>
      <c r="P86" s="17"/>
      <c r="Q86" s="17"/>
      <c r="R86" s="17"/>
      <c r="S86" s="17"/>
      <c r="T86" s="17"/>
      <c r="U86" s="17"/>
      <c r="V86" s="17"/>
      <c r="W86" s="17"/>
      <c r="X86" s="17"/>
      <c r="Y86" s="17"/>
      <c r="Z86" s="17"/>
      <c r="AA86" s="17"/>
    </row>
    <row r="87" spans="1:27" x14ac:dyDescent="0.3">
      <c r="A87" s="17"/>
      <c r="B87" s="17"/>
      <c r="C87" s="17"/>
      <c r="D87" s="15" t="s">
        <v>49</v>
      </c>
      <c r="E87" s="21">
        <v>7.6923076923076927E-2</v>
      </c>
      <c r="G87" s="17"/>
      <c r="H87" s="17"/>
      <c r="I87" s="17"/>
      <c r="J87" s="17"/>
      <c r="K87" s="17"/>
      <c r="L87" s="15" t="s">
        <v>49</v>
      </c>
      <c r="M87" s="21">
        <v>7.1428571428571425E-2</v>
      </c>
      <c r="O87" s="17"/>
      <c r="P87" s="17"/>
      <c r="Q87" s="17"/>
      <c r="R87" s="17"/>
      <c r="S87" s="17"/>
      <c r="T87" s="17"/>
      <c r="U87" s="17"/>
      <c r="V87" s="17"/>
      <c r="W87" s="17"/>
      <c r="X87" s="17"/>
      <c r="Y87" s="17"/>
      <c r="Z87" s="17"/>
      <c r="AA87" s="17"/>
    </row>
    <row r="88" spans="1:27" x14ac:dyDescent="0.3">
      <c r="A88" s="17"/>
      <c r="B88" s="17"/>
      <c r="C88" s="17"/>
      <c r="D88" s="15" t="s">
        <v>48</v>
      </c>
      <c r="E88" s="21">
        <v>7.6923076923076927E-2</v>
      </c>
      <c r="G88" s="17"/>
      <c r="H88" s="17"/>
      <c r="I88" s="17"/>
      <c r="J88" s="17"/>
      <c r="K88" s="17"/>
      <c r="L88" s="15" t="s">
        <v>48</v>
      </c>
      <c r="M88" s="21">
        <v>7.1428571428571425E-2</v>
      </c>
      <c r="O88" s="17"/>
      <c r="P88" s="17"/>
      <c r="Q88" s="17"/>
      <c r="R88" s="17"/>
      <c r="S88" s="17"/>
      <c r="T88" s="17"/>
      <c r="U88" s="17"/>
      <c r="V88" s="17"/>
      <c r="W88" s="17"/>
      <c r="X88" s="17"/>
      <c r="Y88" s="17"/>
      <c r="Z88" s="17"/>
      <c r="AA88" s="17"/>
    </row>
    <row r="89" spans="1:27" x14ac:dyDescent="0.3">
      <c r="A89" s="17"/>
      <c r="B89" s="17"/>
      <c r="C89" s="17"/>
      <c r="D89" s="15" t="s">
        <v>50</v>
      </c>
      <c r="E89" s="21">
        <v>7.6923076923076927E-2</v>
      </c>
      <c r="G89" s="17"/>
      <c r="H89" s="17"/>
      <c r="I89" s="17"/>
      <c r="J89" s="17"/>
      <c r="K89" s="17"/>
      <c r="L89" s="15" t="s">
        <v>50</v>
      </c>
      <c r="M89" s="21">
        <v>7.1428571428571425E-2</v>
      </c>
      <c r="O89" s="17"/>
      <c r="P89" s="17"/>
      <c r="Q89" s="17"/>
      <c r="R89" s="17"/>
      <c r="S89" s="17"/>
      <c r="T89" s="17"/>
      <c r="U89" s="17"/>
      <c r="V89" s="17"/>
      <c r="W89" s="17"/>
      <c r="X89" s="17"/>
      <c r="Y89" s="17"/>
      <c r="Z89" s="17"/>
      <c r="AA89" s="17"/>
    </row>
    <row r="90" spans="1:27" x14ac:dyDescent="0.3">
      <c r="A90" s="17"/>
      <c r="B90" s="17"/>
      <c r="C90" s="17"/>
      <c r="D90" s="15" t="s">
        <v>45</v>
      </c>
      <c r="E90" s="21">
        <v>0.15384615384615385</v>
      </c>
      <c r="G90" s="17"/>
      <c r="H90" s="17"/>
      <c r="I90" s="17"/>
      <c r="J90" s="17"/>
      <c r="K90" s="17"/>
      <c r="L90" s="15" t="s">
        <v>45</v>
      </c>
      <c r="M90" s="21">
        <v>0.14285714285714285</v>
      </c>
      <c r="O90" s="17"/>
      <c r="P90" s="17"/>
      <c r="Q90" s="17"/>
      <c r="R90" s="17"/>
      <c r="S90" s="17"/>
      <c r="T90" s="17"/>
      <c r="U90" s="17"/>
      <c r="V90" s="17"/>
      <c r="W90" s="17"/>
      <c r="X90" s="17"/>
      <c r="Y90" s="17"/>
      <c r="Z90" s="17"/>
      <c r="AA90" s="17"/>
    </row>
    <row r="91" spans="1:27" x14ac:dyDescent="0.3">
      <c r="A91" s="17"/>
      <c r="B91" s="17"/>
      <c r="C91" s="17"/>
      <c r="D91" s="15" t="s">
        <v>72</v>
      </c>
      <c r="E91" s="21">
        <v>1</v>
      </c>
      <c r="G91" s="17"/>
      <c r="H91" s="17"/>
      <c r="I91" s="17"/>
      <c r="J91" s="17"/>
      <c r="K91" s="17"/>
      <c r="L91" s="15" t="s">
        <v>71</v>
      </c>
      <c r="M91" s="21">
        <v>0</v>
      </c>
      <c r="O91" s="17"/>
      <c r="P91" s="17"/>
      <c r="Q91" s="17"/>
      <c r="R91" s="17"/>
      <c r="S91" s="17"/>
      <c r="T91" s="17"/>
      <c r="U91" s="17"/>
      <c r="V91" s="17"/>
      <c r="W91" s="17"/>
      <c r="X91" s="17"/>
      <c r="Y91" s="17"/>
      <c r="Z91" s="17"/>
      <c r="AA91" s="17"/>
    </row>
    <row r="92" spans="1:27" x14ac:dyDescent="0.3">
      <c r="A92" s="17"/>
      <c r="B92" s="17"/>
      <c r="C92" s="17"/>
      <c r="G92" s="17"/>
      <c r="H92" s="17"/>
      <c r="I92" s="17"/>
      <c r="J92" s="17"/>
      <c r="K92" s="17"/>
      <c r="L92" s="15" t="s">
        <v>72</v>
      </c>
      <c r="M92" s="21">
        <v>1</v>
      </c>
      <c r="O92" s="17"/>
      <c r="P92" s="17"/>
      <c r="Q92" s="17"/>
      <c r="R92" s="17"/>
      <c r="S92" s="17"/>
      <c r="T92" s="17"/>
      <c r="U92" s="17"/>
      <c r="V92" s="17"/>
      <c r="W92" s="17"/>
      <c r="X92" s="17"/>
      <c r="Y92" s="17"/>
      <c r="Z92" s="17"/>
      <c r="AA92" s="17"/>
    </row>
    <row r="93" spans="1:27" x14ac:dyDescent="0.3">
      <c r="A93" s="17"/>
      <c r="B93" s="17"/>
      <c r="C93" s="17"/>
      <c r="G93" s="17"/>
      <c r="H93" s="17"/>
      <c r="I93" s="17"/>
      <c r="J93" s="17"/>
      <c r="K93" s="17"/>
      <c r="O93" s="17"/>
      <c r="P93" s="17"/>
      <c r="Q93" s="17"/>
      <c r="R93" s="17"/>
      <c r="S93" s="17"/>
      <c r="T93" s="17"/>
      <c r="U93" s="17"/>
      <c r="V93" s="17"/>
      <c r="W93" s="17"/>
      <c r="X93" s="17"/>
      <c r="Y93" s="17"/>
      <c r="Z93" s="17"/>
      <c r="AA93" s="17"/>
    </row>
    <row r="94" spans="1:27" x14ac:dyDescent="0.3">
      <c r="A94" s="17"/>
      <c r="B94" s="17"/>
      <c r="C94" s="17"/>
      <c r="G94" s="17"/>
      <c r="H94" s="17"/>
      <c r="I94" s="17"/>
      <c r="J94" s="17"/>
      <c r="K94" s="17"/>
      <c r="O94" s="17"/>
      <c r="P94" s="17"/>
      <c r="Q94" s="17"/>
      <c r="R94" s="17"/>
      <c r="S94" s="17"/>
      <c r="T94" s="17"/>
      <c r="U94" s="17"/>
      <c r="V94" s="17"/>
      <c r="W94" s="17"/>
      <c r="X94" s="17"/>
      <c r="Y94" s="17"/>
      <c r="Z94" s="17"/>
      <c r="AA94" s="17"/>
    </row>
    <row r="95" spans="1:27" x14ac:dyDescent="0.3">
      <c r="A95" s="17"/>
      <c r="B95" s="17"/>
      <c r="C95" s="17"/>
      <c r="G95" s="17"/>
      <c r="H95" s="17"/>
      <c r="I95" s="17"/>
      <c r="J95" s="17"/>
      <c r="K95" s="17"/>
      <c r="O95" s="17"/>
      <c r="P95" s="17"/>
      <c r="Q95" s="17"/>
      <c r="R95" s="17"/>
      <c r="S95" s="17"/>
      <c r="T95" s="17"/>
      <c r="U95" s="17"/>
      <c r="V95" s="17"/>
      <c r="W95" s="17"/>
      <c r="X95" s="17"/>
      <c r="Y95" s="17"/>
      <c r="Z95" s="17"/>
      <c r="AA95" s="17"/>
    </row>
    <row r="96" spans="1:27" x14ac:dyDescent="0.3">
      <c r="A96" s="17"/>
      <c r="B96" s="17"/>
      <c r="C96" s="17"/>
      <c r="G96" s="17"/>
      <c r="H96" s="17"/>
      <c r="I96" s="17"/>
      <c r="J96" s="17"/>
      <c r="K96" s="17"/>
      <c r="O96" s="17"/>
      <c r="P96" s="17"/>
      <c r="Q96" s="17"/>
      <c r="R96" s="17"/>
      <c r="S96" s="17"/>
      <c r="T96" s="17"/>
      <c r="U96" s="17"/>
      <c r="V96" s="17"/>
      <c r="W96" s="17"/>
      <c r="X96" s="17"/>
      <c r="Y96" s="17"/>
      <c r="Z96" s="17"/>
      <c r="AA96" s="17"/>
    </row>
    <row r="97" spans="1:27" x14ac:dyDescent="0.3">
      <c r="A97" s="17"/>
      <c r="B97" s="17"/>
      <c r="C97" s="17"/>
      <c r="G97" s="17"/>
      <c r="H97" s="17"/>
      <c r="I97" s="17"/>
      <c r="J97" s="17"/>
      <c r="K97" s="17"/>
      <c r="O97" s="17"/>
      <c r="P97" s="17"/>
      <c r="Q97" s="17"/>
      <c r="R97" s="17"/>
      <c r="S97" s="17"/>
      <c r="T97" s="17"/>
      <c r="U97" s="17"/>
      <c r="V97" s="17"/>
      <c r="W97" s="17"/>
      <c r="X97" s="17"/>
      <c r="Y97" s="17"/>
      <c r="Z97" s="17"/>
      <c r="AA97" s="17"/>
    </row>
    <row r="98" spans="1:27" x14ac:dyDescent="0.3">
      <c r="A98" s="17"/>
      <c r="B98" s="17"/>
      <c r="C98" s="17"/>
      <c r="G98" s="17"/>
      <c r="H98" s="17"/>
      <c r="I98" s="17"/>
      <c r="J98" s="17"/>
      <c r="K98" s="17"/>
      <c r="O98" s="17"/>
      <c r="P98" s="17"/>
      <c r="Q98" s="17"/>
      <c r="R98" s="17"/>
      <c r="S98" s="17"/>
      <c r="T98" s="17"/>
      <c r="U98" s="17"/>
      <c r="V98" s="17"/>
      <c r="W98" s="17"/>
      <c r="X98" s="17"/>
      <c r="Y98" s="17"/>
      <c r="Z98" s="17"/>
      <c r="AA98" s="17"/>
    </row>
    <row r="99" spans="1:27" x14ac:dyDescent="0.3">
      <c r="A99" s="17"/>
      <c r="B99" s="17"/>
      <c r="C99" s="17"/>
      <c r="G99" s="17"/>
      <c r="H99" s="17"/>
      <c r="I99" s="17"/>
      <c r="J99" s="17"/>
      <c r="K99" s="17"/>
      <c r="O99" s="17"/>
      <c r="P99" s="17"/>
      <c r="Q99" s="17"/>
      <c r="R99" s="17"/>
      <c r="S99" s="17"/>
      <c r="T99" s="17"/>
      <c r="U99" s="17"/>
      <c r="V99" s="17"/>
      <c r="W99" s="17"/>
      <c r="X99" s="17"/>
      <c r="Y99" s="17"/>
      <c r="Z99" s="17"/>
      <c r="AA99" s="17"/>
    </row>
    <row r="100" spans="1:27" x14ac:dyDescent="0.3">
      <c r="A100" s="17"/>
      <c r="B100" s="17"/>
      <c r="C100" s="17"/>
      <c r="D100" s="16" t="s">
        <v>69</v>
      </c>
      <c r="E100" t="s">
        <v>98</v>
      </c>
      <c r="G100" s="17"/>
      <c r="H100" s="17"/>
      <c r="I100" s="17"/>
      <c r="J100" s="17"/>
      <c r="K100" s="17"/>
      <c r="L100" s="17"/>
      <c r="M100" s="17"/>
      <c r="N100" s="17"/>
      <c r="O100" s="17"/>
      <c r="P100" s="17"/>
      <c r="Q100" s="17"/>
      <c r="R100" s="17"/>
      <c r="S100" s="17"/>
      <c r="T100" s="17"/>
      <c r="U100" s="17"/>
      <c r="V100" s="17"/>
      <c r="W100" s="17"/>
      <c r="X100" s="17"/>
      <c r="Y100" s="17"/>
      <c r="Z100" s="17"/>
      <c r="AA100" s="17"/>
    </row>
    <row r="101" spans="1:27" x14ac:dyDescent="0.3">
      <c r="A101" s="17"/>
      <c r="B101" s="17"/>
      <c r="C101" s="17"/>
      <c r="D101" s="15" t="s">
        <v>37</v>
      </c>
      <c r="E101">
        <v>108.00000000000001</v>
      </c>
      <c r="G101" s="17"/>
      <c r="H101" s="17"/>
      <c r="I101" s="17"/>
      <c r="J101" s="17"/>
      <c r="K101" s="17"/>
      <c r="L101" s="17"/>
      <c r="M101" s="17"/>
      <c r="N101" s="17"/>
      <c r="O101" s="17"/>
      <c r="P101" s="17"/>
      <c r="Q101" s="17"/>
      <c r="R101" s="17"/>
      <c r="S101" s="17"/>
      <c r="T101" s="17"/>
      <c r="U101" s="17"/>
      <c r="V101" s="17"/>
      <c r="W101" s="17"/>
      <c r="X101" s="17"/>
      <c r="Y101" s="17"/>
      <c r="Z101" s="17"/>
      <c r="AA101" s="17"/>
    </row>
    <row r="102" spans="1:27" x14ac:dyDescent="0.3">
      <c r="A102" s="17"/>
      <c r="B102" s="17"/>
      <c r="C102" s="17"/>
      <c r="D102" s="15" t="s">
        <v>22</v>
      </c>
      <c r="E102">
        <v>198</v>
      </c>
      <c r="G102" s="17"/>
      <c r="H102" s="17"/>
      <c r="I102" s="17"/>
      <c r="J102" s="17"/>
      <c r="K102" s="17"/>
      <c r="L102" s="17"/>
      <c r="M102" s="17"/>
      <c r="N102" s="17"/>
      <c r="O102" s="17"/>
      <c r="P102" s="17"/>
      <c r="Q102" s="17"/>
      <c r="R102" s="17"/>
      <c r="S102" s="17"/>
      <c r="T102" s="17"/>
      <c r="U102" s="17"/>
      <c r="V102" s="17"/>
      <c r="W102" s="17"/>
      <c r="X102" s="17"/>
      <c r="Y102" s="17"/>
      <c r="Z102" s="17"/>
      <c r="AA102" s="17"/>
    </row>
    <row r="103" spans="1:27" x14ac:dyDescent="0.3">
      <c r="A103" s="17"/>
      <c r="B103" s="17"/>
      <c r="C103" s="17"/>
      <c r="D103" s="15" t="s">
        <v>28</v>
      </c>
      <c r="E103">
        <v>43.000000000000007</v>
      </c>
      <c r="G103" s="17"/>
      <c r="H103" s="17"/>
      <c r="I103" s="17"/>
      <c r="J103" s="17"/>
      <c r="K103" s="17"/>
      <c r="L103" s="17"/>
      <c r="M103" s="17"/>
      <c r="N103" s="17"/>
      <c r="O103" s="17"/>
      <c r="P103" s="17"/>
      <c r="Q103" s="17"/>
      <c r="R103" s="17"/>
      <c r="S103" s="17"/>
      <c r="T103" s="17"/>
      <c r="U103" s="17"/>
      <c r="V103" s="17"/>
      <c r="W103" s="17"/>
      <c r="X103" s="17"/>
      <c r="Y103" s="17"/>
      <c r="Z103" s="17"/>
      <c r="AA103" s="17"/>
    </row>
    <row r="104" spans="1:27" x14ac:dyDescent="0.3">
      <c r="A104" s="17"/>
      <c r="B104" s="17"/>
      <c r="C104" s="17"/>
      <c r="D104" s="15" t="s">
        <v>38</v>
      </c>
      <c r="E104">
        <v>30.000000000000014</v>
      </c>
      <c r="G104" s="17"/>
      <c r="H104" s="17"/>
      <c r="I104" s="17"/>
      <c r="J104" s="17"/>
      <c r="K104" s="17"/>
      <c r="L104" s="17"/>
      <c r="M104" s="17"/>
      <c r="N104" s="17"/>
      <c r="O104" s="17"/>
      <c r="P104" s="17"/>
      <c r="Q104" s="17"/>
      <c r="R104" s="17"/>
      <c r="S104" s="17"/>
      <c r="T104" s="17"/>
      <c r="U104" s="17"/>
      <c r="V104" s="17"/>
      <c r="W104" s="17"/>
      <c r="X104" s="17"/>
      <c r="Y104" s="17"/>
      <c r="Z104" s="17"/>
      <c r="AA104" s="17"/>
    </row>
    <row r="105" spans="1:27" x14ac:dyDescent="0.3">
      <c r="A105" s="17"/>
      <c r="B105" s="17"/>
      <c r="C105" s="17"/>
      <c r="D105" s="15" t="s">
        <v>25</v>
      </c>
      <c r="E105">
        <v>38.000000000000028</v>
      </c>
      <c r="G105" s="17"/>
      <c r="H105" s="17"/>
      <c r="I105" s="17"/>
      <c r="J105" s="17"/>
      <c r="K105" s="17"/>
      <c r="L105" s="17"/>
      <c r="M105" s="17"/>
      <c r="N105" s="17"/>
      <c r="O105" s="17"/>
      <c r="P105" s="17"/>
      <c r="Q105" s="17"/>
      <c r="R105" s="17"/>
      <c r="S105" s="17"/>
      <c r="T105" s="17"/>
      <c r="U105" s="17"/>
      <c r="V105" s="17"/>
      <c r="W105" s="17"/>
      <c r="X105" s="17"/>
      <c r="Y105" s="17"/>
      <c r="Z105" s="17"/>
      <c r="AA105" s="17"/>
    </row>
    <row r="106" spans="1:27" x14ac:dyDescent="0.3">
      <c r="A106" s="17"/>
      <c r="B106" s="17"/>
      <c r="C106" s="17"/>
      <c r="D106" s="15" t="s">
        <v>26</v>
      </c>
      <c r="E106">
        <v>770</v>
      </c>
      <c r="G106" s="17"/>
      <c r="H106" s="17"/>
      <c r="I106" s="17"/>
      <c r="J106" s="17"/>
      <c r="K106" s="17"/>
      <c r="L106" s="17"/>
      <c r="M106" s="17"/>
      <c r="N106" s="17"/>
      <c r="O106" s="17"/>
      <c r="P106" s="17"/>
      <c r="Q106" s="17"/>
      <c r="R106" s="17"/>
      <c r="S106" s="17"/>
      <c r="T106" s="17"/>
      <c r="U106" s="17"/>
      <c r="V106" s="17"/>
      <c r="W106" s="17"/>
      <c r="X106" s="17"/>
      <c r="Y106" s="17"/>
      <c r="Z106" s="17"/>
      <c r="AA106" s="17"/>
    </row>
    <row r="107" spans="1:27" x14ac:dyDescent="0.3">
      <c r="A107" s="17"/>
      <c r="B107" s="17"/>
      <c r="C107" s="17"/>
      <c r="D107" s="15" t="s">
        <v>72</v>
      </c>
      <c r="E107">
        <v>1187</v>
      </c>
      <c r="G107" s="17"/>
      <c r="H107" s="17"/>
      <c r="I107" s="17"/>
      <c r="J107" s="17"/>
      <c r="K107" s="17"/>
      <c r="L107" s="17"/>
      <c r="M107" s="17"/>
      <c r="N107" s="17"/>
      <c r="O107" s="17"/>
      <c r="P107" s="17"/>
      <c r="Q107" s="17"/>
      <c r="R107" s="17"/>
      <c r="S107" s="17"/>
      <c r="T107" s="17"/>
      <c r="U107" s="17"/>
      <c r="V107" s="17"/>
      <c r="W107" s="17"/>
      <c r="X107" s="17"/>
      <c r="Y107" s="17"/>
      <c r="Z107" s="17"/>
      <c r="AA107" s="17"/>
    </row>
    <row r="108" spans="1:27" x14ac:dyDescent="0.3">
      <c r="A108" s="17"/>
      <c r="B108" s="17"/>
      <c r="C108" s="17"/>
      <c r="G108" s="17"/>
      <c r="H108" s="17"/>
      <c r="I108" s="17"/>
      <c r="J108" s="17"/>
      <c r="K108" s="17"/>
      <c r="L108" s="17"/>
      <c r="M108" s="17"/>
      <c r="N108" s="17"/>
      <c r="O108" s="17"/>
      <c r="P108" s="17"/>
      <c r="Q108" s="17"/>
      <c r="R108" s="17"/>
      <c r="S108" s="17"/>
      <c r="T108" s="17"/>
      <c r="U108" s="17"/>
      <c r="V108" s="17"/>
      <c r="W108" s="17"/>
      <c r="X108" s="17"/>
      <c r="Y108" s="17"/>
      <c r="Z108" s="17"/>
      <c r="AA108" s="17"/>
    </row>
    <row r="109" spans="1:27" x14ac:dyDescent="0.3">
      <c r="A109" s="17"/>
      <c r="B109" s="17"/>
      <c r="C109" s="17"/>
      <c r="G109" s="17"/>
      <c r="H109" s="17"/>
      <c r="I109" s="17"/>
      <c r="J109" s="17"/>
      <c r="K109" s="17"/>
      <c r="L109" s="17"/>
      <c r="M109" s="17"/>
      <c r="N109" s="17"/>
      <c r="O109" s="17"/>
      <c r="P109" s="17"/>
      <c r="Q109" s="17"/>
      <c r="R109" s="17"/>
      <c r="S109" s="17"/>
      <c r="T109" s="17"/>
      <c r="U109" s="17"/>
      <c r="V109" s="17"/>
      <c r="W109" s="17"/>
      <c r="X109" s="17"/>
      <c r="Y109" s="17"/>
      <c r="Z109" s="17"/>
      <c r="AA109" s="17"/>
    </row>
    <row r="110" spans="1:27" x14ac:dyDescent="0.3">
      <c r="A110" s="17"/>
      <c r="B110" s="17"/>
      <c r="C110" s="17"/>
      <c r="G110" s="17"/>
      <c r="H110" s="17"/>
      <c r="I110" s="17"/>
      <c r="J110" s="17"/>
      <c r="K110" s="17"/>
      <c r="L110" s="17"/>
      <c r="M110" s="17"/>
      <c r="N110" s="17"/>
      <c r="O110" s="17"/>
      <c r="P110" s="17"/>
      <c r="Q110" s="17"/>
      <c r="R110" s="17"/>
      <c r="S110" s="17"/>
      <c r="T110" s="17"/>
      <c r="U110" s="17"/>
      <c r="V110" s="17"/>
      <c r="W110" s="17"/>
      <c r="X110" s="17"/>
      <c r="Y110" s="17"/>
      <c r="Z110" s="17"/>
      <c r="AA110" s="17"/>
    </row>
    <row r="111" spans="1:27" x14ac:dyDescent="0.3">
      <c r="A111" s="17"/>
      <c r="B111" s="17"/>
      <c r="C111" s="17"/>
      <c r="G111" s="17"/>
      <c r="H111" s="17"/>
      <c r="I111" s="17"/>
      <c r="J111" s="17"/>
      <c r="K111" s="17"/>
      <c r="L111" s="17"/>
      <c r="M111" s="17"/>
      <c r="N111" s="17"/>
      <c r="O111" s="17"/>
      <c r="P111" s="17"/>
      <c r="Q111" s="17"/>
      <c r="R111" s="17"/>
      <c r="S111" s="17"/>
      <c r="T111" s="17"/>
      <c r="U111" s="17"/>
      <c r="V111" s="17"/>
      <c r="W111" s="17"/>
      <c r="X111" s="17"/>
      <c r="Y111" s="17"/>
      <c r="Z111" s="17"/>
      <c r="AA111" s="17"/>
    </row>
    <row r="112" spans="1:27" x14ac:dyDescent="0.3">
      <c r="A112" s="17"/>
      <c r="B112" s="17"/>
      <c r="C112" s="17"/>
      <c r="G112" s="17"/>
      <c r="H112" s="17"/>
      <c r="I112" s="17"/>
      <c r="J112" s="17"/>
      <c r="K112" s="17"/>
      <c r="L112" s="17"/>
      <c r="M112" s="17"/>
      <c r="N112" s="17"/>
      <c r="O112" s="17"/>
      <c r="P112" s="17"/>
      <c r="Q112" s="17"/>
      <c r="R112" s="17"/>
      <c r="S112" s="17"/>
      <c r="T112" s="17"/>
      <c r="U112" s="17"/>
      <c r="V112" s="17"/>
      <c r="W112" s="17"/>
      <c r="X112" s="17"/>
      <c r="Y112" s="17"/>
      <c r="Z112" s="17"/>
      <c r="AA112" s="17"/>
    </row>
    <row r="113" spans="3:6" x14ac:dyDescent="0.3">
      <c r="C113" s="17"/>
    </row>
    <row r="114" spans="3:6" x14ac:dyDescent="0.3">
      <c r="C114" s="17"/>
    </row>
    <row r="115" spans="3:6" x14ac:dyDescent="0.3">
      <c r="C115" s="17"/>
    </row>
    <row r="116" spans="3:6" x14ac:dyDescent="0.3">
      <c r="C116" s="17"/>
    </row>
    <row r="117" spans="3:6" x14ac:dyDescent="0.3">
      <c r="C117" s="17"/>
    </row>
    <row r="118" spans="3:6" x14ac:dyDescent="0.3">
      <c r="C118" s="17"/>
    </row>
    <row r="119" spans="3:6" x14ac:dyDescent="0.3">
      <c r="C119" s="17"/>
      <c r="D119" s="17"/>
      <c r="E119" s="17"/>
      <c r="F119" s="17"/>
    </row>
    <row r="120" spans="3:6" x14ac:dyDescent="0.3">
      <c r="C120" s="17"/>
      <c r="D120" s="17"/>
      <c r="E120" s="17"/>
      <c r="F120" s="17"/>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Bitacora </vt:lpstr>
      <vt:lpstr>Listas</vt:lpstr>
      <vt:lpstr>Graficas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Comercial</dc:creator>
  <cp:lastModifiedBy>comercial .</cp:lastModifiedBy>
  <dcterms:created xsi:type="dcterms:W3CDTF">2025-10-10T21:17:57Z</dcterms:created>
  <dcterms:modified xsi:type="dcterms:W3CDTF">2026-02-15T00:03:05Z</dcterms:modified>
</cp:coreProperties>
</file>